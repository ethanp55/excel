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ymac/excel/"/>
    </mc:Choice>
  </mc:AlternateContent>
  <xr:revisionPtr revIDLastSave="0" documentId="13_ncr:1_{D63C0B38-69C0-154A-A84F-3BC48969C54C}" xr6:coauthVersionLast="47" xr6:coauthVersionMax="47" xr10:uidLastSave="{00000000-0000-0000-0000-000000000000}"/>
  <bookViews>
    <workbookView xWindow="30240" yWindow="500" windowWidth="38400" windowHeight="21100" activeTab="2" xr2:uid="{697160FC-E077-754F-AAAE-465B94C7A683}"/>
  </bookViews>
  <sheets>
    <sheet name="vehiclesOriginal" sheetId="1" r:id="rId1"/>
    <sheet name="vehiclesCleanViaMacro" sheetId="2" r:id="rId2"/>
    <sheet name="newVehicles" sheetId="3" r:id="rId3"/>
    <sheet name="vi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 a="1"/>
  <c r="I7" i="2" a="1"/>
  <c r="I11" i="2" a="1"/>
  <c r="I15" i="2" a="1"/>
  <c r="I19" i="2" a="1"/>
  <c r="I23" i="2" a="1"/>
  <c r="I27" i="2" a="1"/>
  <c r="I31" i="2" a="1"/>
  <c r="I35" i="2" a="1"/>
  <c r="I39" i="2" a="1"/>
  <c r="I43" i="2" a="1"/>
  <c r="I47" i="2" a="1"/>
  <c r="I51" i="2" a="1"/>
  <c r="I55" i="2" a="1"/>
  <c r="I59" i="2" a="1"/>
  <c r="I63" i="2" a="1"/>
  <c r="I67" i="2" a="1"/>
  <c r="I71" i="2" a="1"/>
  <c r="I75" i="2" a="1"/>
  <c r="I79" i="2" a="1"/>
  <c r="I83" i="2" a="1"/>
  <c r="I87" i="2" a="1"/>
  <c r="I91" i="2" a="1"/>
  <c r="I95" i="2" a="1"/>
  <c r="I99" i="2" a="1"/>
  <c r="I103" i="2" a="1"/>
  <c r="I50" i="2" a="1"/>
  <c r="I66" i="2" a="1"/>
  <c r="I78" i="2" a="1"/>
  <c r="I90" i="2" a="1"/>
  <c r="I102" i="2" a="1"/>
  <c r="I4" i="2" a="1"/>
  <c r="I8" i="2" a="1"/>
  <c r="I12" i="2" a="1"/>
  <c r="I16" i="2" a="1"/>
  <c r="I20" i="2" a="1"/>
  <c r="I24" i="2" a="1"/>
  <c r="I28" i="2" a="1"/>
  <c r="I32" i="2" a="1"/>
  <c r="I36" i="2" a="1"/>
  <c r="I40" i="2" a="1"/>
  <c r="I44" i="2" a="1"/>
  <c r="I48" i="2" a="1"/>
  <c r="I52" i="2" a="1"/>
  <c r="I56" i="2" a="1"/>
  <c r="I60" i="2" a="1"/>
  <c r="I64" i="2" a="1"/>
  <c r="I68" i="2" a="1"/>
  <c r="I72" i="2" a="1"/>
  <c r="I76" i="2" a="1"/>
  <c r="I80" i="2" a="1"/>
  <c r="I84" i="2" a="1"/>
  <c r="I88" i="2" a="1"/>
  <c r="I92" i="2" a="1"/>
  <c r="I96" i="2" a="1"/>
  <c r="I100" i="2" a="1"/>
  <c r="I104" i="2" a="1"/>
  <c r="I6" i="2" a="1"/>
  <c r="I14" i="2" a="1"/>
  <c r="I22" i="2" a="1"/>
  <c r="I30" i="2" a="1"/>
  <c r="I38" i="2" a="1"/>
  <c r="I46" i="2" a="1"/>
  <c r="I58" i="2" a="1"/>
  <c r="I70" i="2" a="1"/>
  <c r="I82" i="2" a="1"/>
  <c r="I94" i="2" a="1"/>
  <c r="I5" i="2" a="1"/>
  <c r="I9" i="2" a="1"/>
  <c r="I13" i="2" a="1"/>
  <c r="I17" i="2" a="1"/>
  <c r="I21" i="2" a="1"/>
  <c r="I25" i="2" a="1"/>
  <c r="I29" i="2" a="1"/>
  <c r="I33" i="2" a="1"/>
  <c r="I41" i="2" a="1"/>
  <c r="I45" i="2" a="1"/>
  <c r="I49" i="2" a="1"/>
  <c r="I53" i="2" a="1"/>
  <c r="I57" i="2" a="1"/>
  <c r="I61" i="2" a="1"/>
  <c r="I65" i="2" a="1"/>
  <c r="I69" i="2" a="1"/>
  <c r="I73" i="2" a="1"/>
  <c r="I77" i="2" a="1"/>
  <c r="I81" i="2" a="1"/>
  <c r="I85" i="2" a="1"/>
  <c r="I89" i="2" a="1"/>
  <c r="I93" i="2" a="1"/>
  <c r="I97" i="2" a="1"/>
  <c r="I101" i="2" a="1"/>
  <c r="I105" i="2" a="1"/>
  <c r="I10" i="2" a="1"/>
  <c r="I18" i="2" a="1"/>
  <c r="I26" i="2" a="1"/>
  <c r="I34" i="2" a="1"/>
  <c r="I42" i="2" a="1"/>
  <c r="I54" i="2" a="1"/>
  <c r="I62" i="2" a="1"/>
  <c r="I74" i="2" a="1"/>
  <c r="I86" i="2" a="1"/>
  <c r="I98" i="2" a="1"/>
  <c r="I37" i="2" a="1"/>
  <c r="I2" i="2" a="1"/>
  <c r="I37" i="2" l="1"/>
  <c r="I98" i="2"/>
  <c r="I86" i="2"/>
  <c r="I74" i="2"/>
  <c r="I62" i="2"/>
  <c r="I54" i="2"/>
  <c r="I42" i="2"/>
  <c r="I34" i="2"/>
  <c r="I26" i="2"/>
  <c r="I18" i="2"/>
  <c r="I10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3" i="2"/>
  <c r="I29" i="2"/>
  <c r="I25" i="2"/>
  <c r="I21" i="2"/>
  <c r="I17" i="2"/>
  <c r="I13" i="2"/>
  <c r="I9" i="2"/>
  <c r="I5" i="2"/>
  <c r="I94" i="2"/>
  <c r="I82" i="2"/>
  <c r="I70" i="2"/>
  <c r="I58" i="2"/>
  <c r="I46" i="2"/>
  <c r="I38" i="2"/>
  <c r="I30" i="2"/>
  <c r="I22" i="2"/>
  <c r="I14" i="2"/>
  <c r="I6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I102" i="2"/>
  <c r="I90" i="2"/>
  <c r="I78" i="2"/>
  <c r="I66" i="2"/>
  <c r="I50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I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<sst xmlns="http://schemas.openxmlformats.org/spreadsheetml/2006/main" count="1078" uniqueCount="187">
  <si>
    <t>1556563614b271961</t>
  </si>
  <si>
    <t>Pontiac</t>
  </si>
  <si>
    <t>Grand Prix</t>
  </si>
  <si>
    <t>Car</t>
  </si>
  <si>
    <t>Silver</t>
  </si>
  <si>
    <t>1553431225a539881</t>
  </si>
  <si>
    <t>Bonneville</t>
  </si>
  <si>
    <t>Red</t>
  </si>
  <si>
    <t>1664519894a057382</t>
  </si>
  <si>
    <t>GMC</t>
  </si>
  <si>
    <t>Sierra 2500</t>
  </si>
  <si>
    <t>Truck</t>
  </si>
  <si>
    <t>Black</t>
  </si>
  <si>
    <t>1445323473a557121</t>
  </si>
  <si>
    <t>Oldsmobile</t>
  </si>
  <si>
    <t>Cutlass</t>
  </si>
  <si>
    <t>1559295145a189933</t>
  </si>
  <si>
    <t>Trans Sport</t>
  </si>
  <si>
    <t>Van/Minivan</t>
  </si>
  <si>
    <t>White</t>
  </si>
  <si>
    <t>1111739106b033661</t>
  </si>
  <si>
    <t>Buick</t>
  </si>
  <si>
    <t>Century</t>
  </si>
  <si>
    <t>1664322623b161712</t>
  </si>
  <si>
    <t>1219266048b416461</t>
  </si>
  <si>
    <t>Cadillac</t>
  </si>
  <si>
    <t>Saville</t>
  </si>
  <si>
    <t>Blue</t>
  </si>
  <si>
    <t>1555331731a460201</t>
  </si>
  <si>
    <t>Grand Am</t>
  </si>
  <si>
    <t>1558767852b383273</t>
  </si>
  <si>
    <t>Montana</t>
  </si>
  <si>
    <t>Green</t>
  </si>
  <si>
    <t>1447382777b214451</t>
  </si>
  <si>
    <t>Intrigue</t>
  </si>
  <si>
    <t>1329491915b330584</t>
  </si>
  <si>
    <t>Chevrolet</t>
  </si>
  <si>
    <t>Suburban 1500</t>
  </si>
  <si>
    <t>Suv</t>
  </si>
  <si>
    <t>1667504869b172703</t>
  </si>
  <si>
    <t>Safari</t>
  </si>
  <si>
    <t>1553268294b136531</t>
  </si>
  <si>
    <t>1448761928b164301</t>
  </si>
  <si>
    <t>LSS</t>
  </si>
  <si>
    <t>1559524169b542143</t>
  </si>
  <si>
    <t>1216571833b617831</t>
  </si>
  <si>
    <t>Catera</t>
  </si>
  <si>
    <t>Yellow</t>
  </si>
  <si>
    <t>1555638916b112481</t>
  </si>
  <si>
    <t>1218303681b048581</t>
  </si>
  <si>
    <t>Eldorado</t>
  </si>
  <si>
    <t>1559364813a060743</t>
  </si>
  <si>
    <t>1666378180b327552</t>
  </si>
  <si>
    <t>Sonoma</t>
  </si>
  <si>
    <t>1333838362a277762</t>
  </si>
  <si>
    <t>1500 Pickup</t>
  </si>
  <si>
    <t>1447507253b449181</t>
  </si>
  <si>
    <t>1217220249a156751</t>
  </si>
  <si>
    <t>DeVille</t>
  </si>
  <si>
    <t>1219697931a522941</t>
  </si>
  <si>
    <t>1111734556b319561</t>
  </si>
  <si>
    <t>1556548806b369691</t>
  </si>
  <si>
    <t>1554607656a044481</t>
  </si>
  <si>
    <t>Firebird</t>
  </si>
  <si>
    <t>1557434079a238521</t>
  </si>
  <si>
    <t>Sun Fire</t>
  </si>
  <si>
    <t>1446183546b044611</t>
  </si>
  <si>
    <t>Eighty-Eight</t>
  </si>
  <si>
    <t>1662403192b250264</t>
  </si>
  <si>
    <t>Yukon</t>
  </si>
  <si>
    <t>1452625804a415163</t>
  </si>
  <si>
    <t>Silhoutte</t>
  </si>
  <si>
    <t>1112360915a051431</t>
  </si>
  <si>
    <t>LeSabre</t>
  </si>
  <si>
    <t>1668639860a543323</t>
  </si>
  <si>
    <t>Savanna 1500</t>
  </si>
  <si>
    <t>1555113038b150771</t>
  </si>
  <si>
    <t>1451498374b539824</t>
  </si>
  <si>
    <t>Bravada</t>
  </si>
  <si>
    <t>1326802706a241151</t>
  </si>
  <si>
    <t>Metro</t>
  </si>
  <si>
    <t>1446794761b224291</t>
  </si>
  <si>
    <t>1663662375b569332</t>
  </si>
  <si>
    <t>Sierra 1500</t>
  </si>
  <si>
    <t>1336349830a157432</t>
  </si>
  <si>
    <t>Silverado 1500</t>
  </si>
  <si>
    <t>1115606379a555981</t>
  </si>
  <si>
    <t>Rivera</t>
  </si>
  <si>
    <t>1337296543b252122</t>
  </si>
  <si>
    <t>Silverado 2500</t>
  </si>
  <si>
    <t>1115189146a528521</t>
  </si>
  <si>
    <t>1337767913b136092</t>
  </si>
  <si>
    <t>1112654013a189291</t>
  </si>
  <si>
    <t>1219813022a118701</t>
  </si>
  <si>
    <t>1220797693a421604</t>
  </si>
  <si>
    <t>Escalade</t>
  </si>
  <si>
    <t>1558366153a374253</t>
  </si>
  <si>
    <t>1323391750a252251</t>
  </si>
  <si>
    <t>Corvette</t>
  </si>
  <si>
    <t>1445870141a677151</t>
  </si>
  <si>
    <t>1217655685b265391</t>
  </si>
  <si>
    <t>1333348761b534762</t>
  </si>
  <si>
    <t>1556823497b481191</t>
  </si>
  <si>
    <t>1220709025a431444</t>
  </si>
  <si>
    <t>1113432300b365901</t>
  </si>
  <si>
    <t>Park Avenue</t>
  </si>
  <si>
    <t>1666525591a124752</t>
  </si>
  <si>
    <t>1333546755a042452</t>
  </si>
  <si>
    <t>1448363700a556061</t>
  </si>
  <si>
    <t>1112706858a264731</t>
  </si>
  <si>
    <t>1325581682a662261</t>
  </si>
  <si>
    <t>Malibu</t>
  </si>
  <si>
    <t>1115158907b374611</t>
  </si>
  <si>
    <t>1218508037a335791</t>
  </si>
  <si>
    <t>1556621508a373751</t>
  </si>
  <si>
    <t>1219155881b675571</t>
  </si>
  <si>
    <t>1663304728a471822</t>
  </si>
  <si>
    <t>1558278025b338443</t>
  </si>
  <si>
    <t>1111607352a443991</t>
  </si>
  <si>
    <t>1555487685a413051</t>
  </si>
  <si>
    <t>1113717276b269791</t>
  </si>
  <si>
    <t>1217169806z259441</t>
  </si>
  <si>
    <t>1554340025b346221</t>
  </si>
  <si>
    <t>1112708007a676201</t>
  </si>
  <si>
    <t>1663580389a567182</t>
  </si>
  <si>
    <t>1448552176b238031</t>
  </si>
  <si>
    <t>1321402193b422261</t>
  </si>
  <si>
    <t>Camaro</t>
  </si>
  <si>
    <t>1450451660a266051</t>
  </si>
  <si>
    <t>Regency</t>
  </si>
  <si>
    <t>1113691185a526771</t>
  </si>
  <si>
    <t>1331379095b553534</t>
  </si>
  <si>
    <t>Tahoe</t>
  </si>
  <si>
    <t>1555146055b636151</t>
  </si>
  <si>
    <t>1217269864a429311</t>
  </si>
  <si>
    <t>1111222567b256701</t>
  </si>
  <si>
    <t>1446102172b161601</t>
  </si>
  <si>
    <t>1661555836a465504</t>
  </si>
  <si>
    <t>Jimmy</t>
  </si>
  <si>
    <t>1555642746b544621</t>
  </si>
  <si>
    <t>1662885712a551814</t>
  </si>
  <si>
    <t>1449783172b050461</t>
  </si>
  <si>
    <t>Achieva</t>
  </si>
  <si>
    <t>1220110299a452654</t>
  </si>
  <si>
    <t>1663391840b228852</t>
  </si>
  <si>
    <t>1448892587a174791</t>
  </si>
  <si>
    <t>1331206524a157154</t>
  </si>
  <si>
    <t>1558445233b355963</t>
  </si>
  <si>
    <t>1112892584a243301</t>
  </si>
  <si>
    <t>1341318436b337493</t>
  </si>
  <si>
    <t>Express 3500</t>
  </si>
  <si>
    <t>1114391803a543831</t>
  </si>
  <si>
    <t>Regal</t>
  </si>
  <si>
    <t>1112215962a221081</t>
  </si>
  <si>
    <t>1451886825a059994</t>
  </si>
  <si>
    <t>1329264282a142124</t>
  </si>
  <si>
    <t>1112106250a633951</t>
  </si>
  <si>
    <t>1557295317a367911</t>
  </si>
  <si>
    <t>1447619432a022581</t>
  </si>
  <si>
    <t>1662377253a328554</t>
  </si>
  <si>
    <t>1115230214b439221</t>
  </si>
  <si>
    <t>1668423976a345593</t>
  </si>
  <si>
    <t>1329604863b322504</t>
  </si>
  <si>
    <t>VIN</t>
  </si>
  <si>
    <t>Year</t>
  </si>
  <si>
    <t>Make</t>
  </si>
  <si>
    <t>Model</t>
  </si>
  <si>
    <t>Classification</t>
  </si>
  <si>
    <t>Color</t>
  </si>
  <si>
    <t>MSRP</t>
  </si>
  <si>
    <t>Dealer Cost</t>
  </si>
  <si>
    <t>Status</t>
  </si>
  <si>
    <t>1135132350b086551</t>
  </si>
  <si>
    <t>1221566410b452463</t>
  </si>
  <si>
    <t>1516542761b627911</t>
  </si>
  <si>
    <t>1659279965a240522</t>
  </si>
  <si>
    <t>1517501871a330821</t>
  </si>
  <si>
    <t>1462350326a341692</t>
  </si>
  <si>
    <t>1220881327b547471</t>
  </si>
  <si>
    <t>1138112010a210901</t>
  </si>
  <si>
    <t>1344752242a146471</t>
  </si>
  <si>
    <t>1345424187a541504</t>
  </si>
  <si>
    <t>Country</t>
  </si>
  <si>
    <t>1448331649a271961</t>
  </si>
  <si>
    <t>Time: 2:16</t>
  </si>
  <si>
    <t>a</t>
  </si>
  <si>
    <t>Time: 2:32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</si>
</sst>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name val="Arial"/>
      <family val="2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44" fontId="3" fillId="0" borderId="0" xfId="1" applyFont="1" applyAlignment="1">
      <alignment horizontal="center"/>
    </xf>
    <xf numFmtId="44" fontId="2" fillId="0" borderId="0" xfId="1" applyFont="1"/>
    <xf numFmtId="44" fontId="0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E1842-6674-1C47-9F25-E0A485B83FA0}">
  <sheetPr codeName="Sheet1"/>
  <dimension ref="A1:H104"/>
  <sheetViews>
    <sheetView zoomScale="130" zoomScaleNormal="130" workbookViewId="0">
      <selection activeCell="D24" sqref="D24"/>
    </sheetView>
  </sheetViews>
  <sheetFormatPr baseColWidth="10" defaultRowHeight="16" x14ac:dyDescent="0.2"/>
  <sheetData>
    <row r="1" spans="1:8" x14ac:dyDescent="0.2">
      <c r="A1" s="1" t="s">
        <v>0</v>
      </c>
      <c r="B1" s="1">
        <v>2019</v>
      </c>
      <c r="C1" s="1" t="s">
        <v>1</v>
      </c>
      <c r="D1" s="1" t="s">
        <v>2</v>
      </c>
      <c r="E1" s="1" t="s">
        <v>3</v>
      </c>
      <c r="F1" s="1" t="s">
        <v>4</v>
      </c>
      <c r="G1" s="1">
        <v>16084</v>
      </c>
      <c r="H1" s="1">
        <v>19301</v>
      </c>
    </row>
    <row r="2" spans="1:8" x14ac:dyDescent="0.2">
      <c r="A2" s="1" t="s">
        <v>5</v>
      </c>
      <c r="B2" s="1">
        <v>2018</v>
      </c>
      <c r="C2" s="1" t="s">
        <v>1</v>
      </c>
      <c r="D2" s="1" t="s">
        <v>6</v>
      </c>
      <c r="E2" s="1" t="s">
        <v>3</v>
      </c>
      <c r="F2" s="1" t="s">
        <v>7</v>
      </c>
      <c r="G2" s="1">
        <v>21772</v>
      </c>
      <c r="H2" s="1">
        <v>23949</v>
      </c>
    </row>
    <row r="3" spans="1:8" x14ac:dyDescent="0.2">
      <c r="A3" s="1" t="s">
        <v>8</v>
      </c>
      <c r="B3" s="1">
        <v>2018</v>
      </c>
      <c r="C3" s="1" t="s">
        <v>9</v>
      </c>
      <c r="D3" s="1" t="s">
        <v>10</v>
      </c>
      <c r="E3" s="1" t="s">
        <v>11</v>
      </c>
      <c r="F3" s="1" t="s">
        <v>12</v>
      </c>
      <c r="G3" s="1">
        <v>15812</v>
      </c>
      <c r="H3" s="1">
        <v>17393</v>
      </c>
    </row>
    <row r="4" spans="1:8" x14ac:dyDescent="0.2">
      <c r="A4" s="1" t="s">
        <v>13</v>
      </c>
      <c r="B4" s="1">
        <v>2018</v>
      </c>
      <c r="C4" s="1" t="s">
        <v>14</v>
      </c>
      <c r="D4" s="1" t="s">
        <v>15</v>
      </c>
      <c r="E4" s="1" t="s">
        <v>3</v>
      </c>
      <c r="F4" s="1" t="s">
        <v>7</v>
      </c>
      <c r="G4" s="1">
        <v>17944</v>
      </c>
      <c r="H4" s="1">
        <v>19738</v>
      </c>
    </row>
    <row r="5" spans="1:8" x14ac:dyDescent="0.2">
      <c r="A5" s="1" t="s">
        <v>16</v>
      </c>
      <c r="B5" s="1">
        <v>2018</v>
      </c>
      <c r="C5" s="1" t="s">
        <v>1</v>
      </c>
      <c r="D5" s="1" t="s">
        <v>17</v>
      </c>
      <c r="E5" s="1" t="s">
        <v>18</v>
      </c>
      <c r="F5" s="1" t="s">
        <v>19</v>
      </c>
      <c r="G5" s="1">
        <v>19705</v>
      </c>
      <c r="H5" s="1">
        <v>21676</v>
      </c>
    </row>
    <row r="6" spans="1:8" x14ac:dyDescent="0.2">
      <c r="A6" s="1" t="s">
        <v>20</v>
      </c>
      <c r="B6" s="1">
        <v>2019</v>
      </c>
      <c r="C6" s="1" t="s">
        <v>21</v>
      </c>
      <c r="D6" s="1" t="s">
        <v>22</v>
      </c>
      <c r="E6" s="1" t="s">
        <v>3</v>
      </c>
      <c r="F6" s="1" t="s">
        <v>12</v>
      </c>
      <c r="G6" s="1">
        <v>12292</v>
      </c>
      <c r="H6" s="1">
        <v>14750</v>
      </c>
    </row>
    <row r="7" spans="1:8" x14ac:dyDescent="0.2">
      <c r="A7" s="1" t="s">
        <v>23</v>
      </c>
      <c r="B7" s="1">
        <v>2019</v>
      </c>
      <c r="C7" s="1" t="s">
        <v>9</v>
      </c>
      <c r="D7" s="1" t="s">
        <v>10</v>
      </c>
      <c r="E7" s="1" t="s">
        <v>11</v>
      </c>
      <c r="F7" s="1" t="s">
        <v>19</v>
      </c>
      <c r="G7" s="1">
        <v>15460</v>
      </c>
      <c r="H7" s="1">
        <v>18552</v>
      </c>
    </row>
    <row r="8" spans="1:8" x14ac:dyDescent="0.2">
      <c r="A8" s="1" t="s">
        <v>24</v>
      </c>
      <c r="B8" s="1">
        <v>2019</v>
      </c>
      <c r="C8" s="1" t="s">
        <v>25</v>
      </c>
      <c r="D8" s="1" t="s">
        <v>26</v>
      </c>
      <c r="E8" s="1" t="s">
        <v>3</v>
      </c>
      <c r="F8" s="1" t="s">
        <v>27</v>
      </c>
      <c r="G8" s="1">
        <v>28580</v>
      </c>
      <c r="H8" s="1">
        <v>34296</v>
      </c>
    </row>
    <row r="9" spans="1:8" x14ac:dyDescent="0.2">
      <c r="A9" s="1" t="s">
        <v>28</v>
      </c>
      <c r="B9" s="1">
        <v>2018</v>
      </c>
      <c r="C9" s="1" t="s">
        <v>1</v>
      </c>
      <c r="D9" s="1" t="s">
        <v>29</v>
      </c>
      <c r="E9" s="1" t="s">
        <v>3</v>
      </c>
      <c r="F9" s="1" t="s">
        <v>27</v>
      </c>
      <c r="G9" s="1">
        <v>18571</v>
      </c>
      <c r="H9" s="1">
        <v>20428</v>
      </c>
    </row>
    <row r="10" spans="1:8" x14ac:dyDescent="0.2">
      <c r="A10" s="1" t="s">
        <v>30</v>
      </c>
      <c r="B10" s="1">
        <v>2019</v>
      </c>
      <c r="C10" s="1" t="s">
        <v>1</v>
      </c>
      <c r="D10" s="1" t="s">
        <v>31</v>
      </c>
      <c r="E10" s="1" t="s">
        <v>18</v>
      </c>
      <c r="F10" s="1" t="s">
        <v>32</v>
      </c>
      <c r="G10" s="1">
        <v>18721</v>
      </c>
      <c r="H10" s="1">
        <v>22465</v>
      </c>
    </row>
    <row r="11" spans="1:8" x14ac:dyDescent="0.2">
      <c r="A11" s="1" t="s">
        <v>33</v>
      </c>
      <c r="B11" s="1">
        <v>2019</v>
      </c>
      <c r="C11" s="1" t="s">
        <v>14</v>
      </c>
      <c r="D11" s="1" t="s">
        <v>34</v>
      </c>
      <c r="E11" s="1" t="s">
        <v>3</v>
      </c>
      <c r="F11" s="1" t="s">
        <v>4</v>
      </c>
      <c r="G11" s="1">
        <v>22463</v>
      </c>
      <c r="H11" s="1">
        <v>26956</v>
      </c>
    </row>
    <row r="12" spans="1:8" x14ac:dyDescent="0.2">
      <c r="A12" s="1" t="s">
        <v>35</v>
      </c>
      <c r="B12" s="1">
        <v>2019</v>
      </c>
      <c r="C12" s="1" t="s">
        <v>36</v>
      </c>
      <c r="D12" s="1" t="s">
        <v>37</v>
      </c>
      <c r="E12" s="1" t="s">
        <v>38</v>
      </c>
      <c r="F12" s="1" t="s">
        <v>32</v>
      </c>
      <c r="G12" s="1">
        <v>23773</v>
      </c>
      <c r="H12" s="1">
        <v>28528</v>
      </c>
    </row>
    <row r="13" spans="1:8" x14ac:dyDescent="0.2">
      <c r="A13" s="1" t="s">
        <v>39</v>
      </c>
      <c r="B13" s="1">
        <v>2019</v>
      </c>
      <c r="C13" s="1" t="s">
        <v>9</v>
      </c>
      <c r="D13" s="1" t="s">
        <v>40</v>
      </c>
      <c r="E13" s="1" t="s">
        <v>18</v>
      </c>
      <c r="F13" s="1" t="s">
        <v>19</v>
      </c>
      <c r="G13" s="1">
        <v>17758</v>
      </c>
      <c r="H13" s="1">
        <v>21310</v>
      </c>
    </row>
    <row r="14" spans="1:8" x14ac:dyDescent="0.2">
      <c r="A14" s="1" t="s">
        <v>41</v>
      </c>
      <c r="B14" s="1">
        <v>2019</v>
      </c>
      <c r="C14" s="1" t="s">
        <v>1</v>
      </c>
      <c r="D14" s="1" t="s">
        <v>6</v>
      </c>
      <c r="E14" s="1" t="s">
        <v>3</v>
      </c>
      <c r="F14" s="1" t="s">
        <v>19</v>
      </c>
      <c r="G14" s="1">
        <v>16770</v>
      </c>
      <c r="H14" s="1">
        <v>20124</v>
      </c>
    </row>
    <row r="15" spans="1:8" x14ac:dyDescent="0.2">
      <c r="A15" s="1" t="s">
        <v>42</v>
      </c>
      <c r="B15" s="1">
        <v>2019</v>
      </c>
      <c r="C15" s="1" t="s">
        <v>14</v>
      </c>
      <c r="D15" s="1" t="s">
        <v>43</v>
      </c>
      <c r="E15" s="1" t="s">
        <v>3</v>
      </c>
      <c r="F15" s="1" t="s">
        <v>19</v>
      </c>
      <c r="G15" s="1">
        <v>23725</v>
      </c>
      <c r="H15" s="1">
        <v>28470</v>
      </c>
    </row>
    <row r="16" spans="1:8" x14ac:dyDescent="0.2">
      <c r="A16" s="1" t="s">
        <v>44</v>
      </c>
      <c r="B16" s="1">
        <v>2019</v>
      </c>
      <c r="C16" s="1" t="s">
        <v>1</v>
      </c>
      <c r="D16" s="1" t="s">
        <v>17</v>
      </c>
      <c r="E16" s="1" t="s">
        <v>18</v>
      </c>
      <c r="F16" s="1" t="s">
        <v>7</v>
      </c>
      <c r="G16" s="1">
        <v>18847</v>
      </c>
      <c r="H16" s="1">
        <v>22616</v>
      </c>
    </row>
    <row r="17" spans="1:8" x14ac:dyDescent="0.2">
      <c r="A17" s="1" t="s">
        <v>45</v>
      </c>
      <c r="B17" s="1">
        <v>2019</v>
      </c>
      <c r="C17" s="1" t="s">
        <v>25</v>
      </c>
      <c r="D17" s="1" t="s">
        <v>46</v>
      </c>
      <c r="E17" s="1" t="s">
        <v>3</v>
      </c>
      <c r="F17" s="1" t="s">
        <v>47</v>
      </c>
      <c r="G17" s="1">
        <v>28439</v>
      </c>
      <c r="H17" s="1">
        <v>34127</v>
      </c>
    </row>
    <row r="18" spans="1:8" x14ac:dyDescent="0.2">
      <c r="A18" s="1" t="s">
        <v>48</v>
      </c>
      <c r="B18" s="1">
        <v>2019</v>
      </c>
      <c r="C18" s="1" t="s">
        <v>1</v>
      </c>
      <c r="D18" s="1" t="s">
        <v>29</v>
      </c>
      <c r="E18" s="1" t="s">
        <v>3</v>
      </c>
      <c r="F18" s="1" t="s">
        <v>19</v>
      </c>
      <c r="G18" s="1">
        <v>17936</v>
      </c>
      <c r="H18" s="1">
        <v>21523</v>
      </c>
    </row>
    <row r="19" spans="1:8" x14ac:dyDescent="0.2">
      <c r="A19" s="1" t="s">
        <v>49</v>
      </c>
      <c r="B19" s="1">
        <v>2019</v>
      </c>
      <c r="C19" s="1" t="s">
        <v>25</v>
      </c>
      <c r="D19" s="1" t="s">
        <v>50</v>
      </c>
      <c r="E19" s="1" t="s">
        <v>3</v>
      </c>
      <c r="F19" s="1" t="s">
        <v>12</v>
      </c>
      <c r="G19" s="1">
        <v>26060</v>
      </c>
      <c r="H19" s="1">
        <v>31272</v>
      </c>
    </row>
    <row r="20" spans="1:8" x14ac:dyDescent="0.2">
      <c r="A20" s="1" t="s">
        <v>51</v>
      </c>
      <c r="B20" s="1">
        <v>2018</v>
      </c>
      <c r="C20" s="1" t="s">
        <v>1</v>
      </c>
      <c r="D20" s="1" t="s">
        <v>17</v>
      </c>
      <c r="E20" s="1" t="s">
        <v>18</v>
      </c>
      <c r="F20" s="1" t="s">
        <v>12</v>
      </c>
      <c r="G20" s="1">
        <v>18640</v>
      </c>
      <c r="H20" s="1">
        <v>20504</v>
      </c>
    </row>
    <row r="21" spans="1:8" x14ac:dyDescent="0.2">
      <c r="A21" s="1" t="s">
        <v>52</v>
      </c>
      <c r="B21" s="1">
        <v>2019</v>
      </c>
      <c r="C21" s="1" t="s">
        <v>9</v>
      </c>
      <c r="D21" s="1" t="s">
        <v>53</v>
      </c>
      <c r="E21" s="1" t="s">
        <v>11</v>
      </c>
      <c r="F21" s="1" t="s">
        <v>32</v>
      </c>
      <c r="G21" s="1">
        <v>18962</v>
      </c>
      <c r="H21" s="1">
        <v>22754</v>
      </c>
    </row>
    <row r="22" spans="1:8" x14ac:dyDescent="0.2">
      <c r="A22" s="1" t="s">
        <v>54</v>
      </c>
      <c r="B22" s="1">
        <v>2018</v>
      </c>
      <c r="C22" s="1" t="s">
        <v>36</v>
      </c>
      <c r="D22" s="1" t="s">
        <v>55</v>
      </c>
      <c r="E22" s="1" t="s">
        <v>11</v>
      </c>
      <c r="F22" s="1" t="s">
        <v>4</v>
      </c>
      <c r="G22" s="1">
        <v>12305</v>
      </c>
      <c r="H22" s="1">
        <v>13536</v>
      </c>
    </row>
    <row r="23" spans="1:8" x14ac:dyDescent="0.2">
      <c r="A23" s="1" t="s">
        <v>56</v>
      </c>
      <c r="B23" s="1">
        <v>2019</v>
      </c>
      <c r="C23" s="1" t="s">
        <v>14</v>
      </c>
      <c r="D23" s="1" t="s">
        <v>34</v>
      </c>
      <c r="E23" s="1" t="s">
        <v>3</v>
      </c>
      <c r="F23" s="1" t="s">
        <v>27</v>
      </c>
      <c r="G23" s="1">
        <v>25085</v>
      </c>
      <c r="H23" s="1">
        <v>30102</v>
      </c>
    </row>
    <row r="24" spans="1:8" x14ac:dyDescent="0.2">
      <c r="A24" s="1" t="s">
        <v>57</v>
      </c>
      <c r="B24" s="1">
        <v>2018</v>
      </c>
      <c r="C24" s="1" t="s">
        <v>25</v>
      </c>
      <c r="D24" s="1" t="s">
        <v>58</v>
      </c>
      <c r="E24" s="1" t="s">
        <v>3</v>
      </c>
      <c r="F24" s="1" t="s">
        <v>19</v>
      </c>
      <c r="G24" s="1">
        <v>27635</v>
      </c>
      <c r="H24" s="1">
        <v>30399</v>
      </c>
    </row>
    <row r="25" spans="1:8" x14ac:dyDescent="0.2">
      <c r="A25" s="1" t="s">
        <v>59</v>
      </c>
      <c r="B25" s="1">
        <v>2018</v>
      </c>
      <c r="C25" s="1" t="s">
        <v>25</v>
      </c>
      <c r="D25" s="1" t="s">
        <v>26</v>
      </c>
      <c r="E25" s="1" t="s">
        <v>3</v>
      </c>
      <c r="F25" s="1" t="s">
        <v>7</v>
      </c>
      <c r="G25" s="1">
        <v>32078</v>
      </c>
      <c r="H25" s="1">
        <v>35286</v>
      </c>
    </row>
    <row r="26" spans="1:8" x14ac:dyDescent="0.2">
      <c r="A26" s="1" t="s">
        <v>60</v>
      </c>
      <c r="B26" s="1">
        <v>2019</v>
      </c>
      <c r="C26" s="1" t="s">
        <v>21</v>
      </c>
      <c r="D26" s="1" t="s">
        <v>22</v>
      </c>
      <c r="E26" s="1" t="s">
        <v>3</v>
      </c>
      <c r="F26" s="1" t="s">
        <v>32</v>
      </c>
      <c r="G26" s="1">
        <v>10693</v>
      </c>
      <c r="H26" s="1">
        <v>12832</v>
      </c>
    </row>
    <row r="27" spans="1:8" x14ac:dyDescent="0.2">
      <c r="A27" s="1" t="s">
        <v>61</v>
      </c>
      <c r="B27" s="1">
        <v>2019</v>
      </c>
      <c r="C27" s="1" t="s">
        <v>1</v>
      </c>
      <c r="D27" s="1" t="s">
        <v>2</v>
      </c>
      <c r="E27" s="1" t="s">
        <v>3</v>
      </c>
      <c r="F27" s="1" t="s">
        <v>32</v>
      </c>
      <c r="G27" s="1">
        <v>20514</v>
      </c>
      <c r="H27" s="1">
        <v>24617</v>
      </c>
    </row>
    <row r="28" spans="1:8" x14ac:dyDescent="0.2">
      <c r="A28" s="1" t="s">
        <v>62</v>
      </c>
      <c r="B28" s="1">
        <v>2018</v>
      </c>
      <c r="C28" s="1" t="s">
        <v>1</v>
      </c>
      <c r="D28" s="1" t="s">
        <v>63</v>
      </c>
      <c r="E28" s="1" t="s">
        <v>3</v>
      </c>
      <c r="F28" s="1" t="s">
        <v>12</v>
      </c>
      <c r="G28" s="1">
        <v>18412</v>
      </c>
      <c r="H28" s="1">
        <v>20253</v>
      </c>
    </row>
    <row r="29" spans="1:8" x14ac:dyDescent="0.2">
      <c r="A29" s="1" t="s">
        <v>64</v>
      </c>
      <c r="B29" s="1">
        <v>2018</v>
      </c>
      <c r="C29" s="1" t="s">
        <v>1</v>
      </c>
      <c r="D29" s="1" t="s">
        <v>65</v>
      </c>
      <c r="E29" s="1" t="s">
        <v>3</v>
      </c>
      <c r="F29" s="1" t="s">
        <v>4</v>
      </c>
      <c r="G29" s="1">
        <v>18601</v>
      </c>
      <c r="H29" s="1">
        <v>20461</v>
      </c>
    </row>
    <row r="30" spans="1:8" x14ac:dyDescent="0.2">
      <c r="A30" s="1" t="s">
        <v>66</v>
      </c>
      <c r="B30" s="1">
        <v>2019</v>
      </c>
      <c r="C30" s="1" t="s">
        <v>14</v>
      </c>
      <c r="D30" s="1" t="s">
        <v>67</v>
      </c>
      <c r="E30" s="1" t="s">
        <v>3</v>
      </c>
      <c r="F30" s="1" t="s">
        <v>12</v>
      </c>
      <c r="G30" s="1">
        <v>17837</v>
      </c>
      <c r="H30" s="1">
        <v>21404</v>
      </c>
    </row>
    <row r="31" spans="1:8" x14ac:dyDescent="0.2">
      <c r="A31" s="1" t="s">
        <v>68</v>
      </c>
      <c r="B31" s="1">
        <v>2019</v>
      </c>
      <c r="C31" s="1" t="s">
        <v>9</v>
      </c>
      <c r="D31" s="1" t="s">
        <v>69</v>
      </c>
      <c r="E31" s="1" t="s">
        <v>38</v>
      </c>
      <c r="F31" s="1" t="s">
        <v>4</v>
      </c>
      <c r="G31" s="1">
        <v>19832</v>
      </c>
      <c r="H31" s="1">
        <v>23798</v>
      </c>
    </row>
    <row r="32" spans="1:8" x14ac:dyDescent="0.2">
      <c r="A32" s="1" t="s">
        <v>70</v>
      </c>
      <c r="B32" s="1">
        <v>2018</v>
      </c>
      <c r="C32" s="1" t="s">
        <v>14</v>
      </c>
      <c r="D32" s="1" t="s">
        <v>71</v>
      </c>
      <c r="E32" s="1" t="s">
        <v>18</v>
      </c>
      <c r="F32" s="1" t="s">
        <v>27</v>
      </c>
      <c r="G32" s="1">
        <v>17024</v>
      </c>
      <c r="H32" s="1">
        <v>18726</v>
      </c>
    </row>
    <row r="33" spans="1:8" x14ac:dyDescent="0.2">
      <c r="A33" s="1" t="s">
        <v>72</v>
      </c>
      <c r="B33" s="1">
        <v>2018</v>
      </c>
      <c r="C33" s="1" t="s">
        <v>21</v>
      </c>
      <c r="D33" s="1" t="s">
        <v>73</v>
      </c>
      <c r="E33" s="1" t="s">
        <v>3</v>
      </c>
      <c r="F33" s="1" t="s">
        <v>12</v>
      </c>
      <c r="G33" s="1">
        <v>14542</v>
      </c>
      <c r="H33" s="1">
        <v>15996</v>
      </c>
    </row>
    <row r="34" spans="1:8" x14ac:dyDescent="0.2">
      <c r="A34" s="1" t="s">
        <v>74</v>
      </c>
      <c r="B34" s="1">
        <v>2018</v>
      </c>
      <c r="C34" s="1" t="s">
        <v>9</v>
      </c>
      <c r="D34" s="1" t="s">
        <v>75</v>
      </c>
      <c r="E34" s="1" t="s">
        <v>18</v>
      </c>
      <c r="F34" s="1" t="s">
        <v>7</v>
      </c>
      <c r="G34" s="1">
        <v>15738</v>
      </c>
      <c r="H34" s="1">
        <v>17312</v>
      </c>
    </row>
    <row r="35" spans="1:8" x14ac:dyDescent="0.2">
      <c r="A35" s="1" t="s">
        <v>76</v>
      </c>
      <c r="B35" s="1">
        <v>2019</v>
      </c>
      <c r="C35" s="1" t="s">
        <v>1</v>
      </c>
      <c r="D35" s="1" t="s">
        <v>29</v>
      </c>
      <c r="E35" s="1" t="s">
        <v>3</v>
      </c>
      <c r="F35" s="1" t="s">
        <v>19</v>
      </c>
      <c r="G35" s="1">
        <v>18436</v>
      </c>
      <c r="H35" s="1">
        <v>22123</v>
      </c>
    </row>
    <row r="36" spans="1:8" x14ac:dyDescent="0.2">
      <c r="A36" s="1" t="s">
        <v>77</v>
      </c>
      <c r="B36" s="1">
        <v>2019</v>
      </c>
      <c r="C36" s="1" t="s">
        <v>14</v>
      </c>
      <c r="D36" s="1" t="s">
        <v>78</v>
      </c>
      <c r="E36" s="1" t="s">
        <v>38</v>
      </c>
      <c r="F36" s="1" t="s">
        <v>7</v>
      </c>
      <c r="G36" s="1">
        <v>29294</v>
      </c>
      <c r="H36" s="1">
        <v>35153</v>
      </c>
    </row>
    <row r="37" spans="1:8" x14ac:dyDescent="0.2">
      <c r="A37" s="1" t="s">
        <v>79</v>
      </c>
      <c r="B37" s="1">
        <v>2018</v>
      </c>
      <c r="C37" s="1" t="s">
        <v>36</v>
      </c>
      <c r="D37" s="1" t="s">
        <v>80</v>
      </c>
      <c r="E37" s="1" t="s">
        <v>3</v>
      </c>
      <c r="F37" s="1" t="s">
        <v>4</v>
      </c>
      <c r="G37" s="1">
        <v>16164</v>
      </c>
      <c r="H37" s="1">
        <v>17780</v>
      </c>
    </row>
    <row r="38" spans="1:8" x14ac:dyDescent="0.2">
      <c r="A38" s="1" t="s">
        <v>81</v>
      </c>
      <c r="B38" s="1">
        <v>2019</v>
      </c>
      <c r="C38" s="1" t="s">
        <v>14</v>
      </c>
      <c r="D38" s="1" t="s">
        <v>67</v>
      </c>
      <c r="E38" s="1" t="s">
        <v>3</v>
      </c>
      <c r="F38" s="1" t="s">
        <v>4</v>
      </c>
      <c r="G38" s="1">
        <v>15388</v>
      </c>
      <c r="H38" s="1">
        <v>18466</v>
      </c>
    </row>
    <row r="39" spans="1:8" x14ac:dyDescent="0.2">
      <c r="A39" s="1" t="s">
        <v>82</v>
      </c>
      <c r="B39" s="1">
        <v>2019</v>
      </c>
      <c r="C39" s="1" t="s">
        <v>9</v>
      </c>
      <c r="D39" s="1" t="s">
        <v>83</v>
      </c>
      <c r="E39" s="1" t="s">
        <v>11</v>
      </c>
      <c r="F39" s="1" t="s">
        <v>7</v>
      </c>
      <c r="G39" s="1">
        <v>15626</v>
      </c>
      <c r="H39" s="1">
        <v>18751</v>
      </c>
    </row>
    <row r="40" spans="1:8" x14ac:dyDescent="0.2">
      <c r="A40" s="1" t="s">
        <v>84</v>
      </c>
      <c r="B40" s="1">
        <v>2018</v>
      </c>
      <c r="C40" s="1" t="s">
        <v>36</v>
      </c>
      <c r="D40" s="1" t="s">
        <v>85</v>
      </c>
      <c r="E40" s="1" t="s">
        <v>11</v>
      </c>
      <c r="F40" s="1" t="s">
        <v>19</v>
      </c>
      <c r="G40" s="1">
        <v>12825</v>
      </c>
      <c r="H40" s="1">
        <v>14108</v>
      </c>
    </row>
    <row r="41" spans="1:8" x14ac:dyDescent="0.2">
      <c r="A41" s="1" t="s">
        <v>86</v>
      </c>
      <c r="B41" s="1">
        <v>2018</v>
      </c>
      <c r="C41" s="1" t="s">
        <v>21</v>
      </c>
      <c r="D41" s="1" t="s">
        <v>87</v>
      </c>
      <c r="E41" s="1" t="s">
        <v>3</v>
      </c>
      <c r="F41" s="1" t="s">
        <v>7</v>
      </c>
      <c r="G41" s="1">
        <v>11471</v>
      </c>
      <c r="H41" s="1">
        <v>12618</v>
      </c>
    </row>
    <row r="42" spans="1:8" x14ac:dyDescent="0.2">
      <c r="A42" s="1" t="s">
        <v>88</v>
      </c>
      <c r="B42" s="1">
        <v>2019</v>
      </c>
      <c r="C42" s="1" t="s">
        <v>36</v>
      </c>
      <c r="D42" s="1" t="s">
        <v>89</v>
      </c>
      <c r="E42" s="1" t="s">
        <v>11</v>
      </c>
      <c r="F42" s="1" t="s">
        <v>4</v>
      </c>
      <c r="G42" s="1">
        <v>10081</v>
      </c>
      <c r="H42" s="1">
        <v>12097</v>
      </c>
    </row>
    <row r="43" spans="1:8" x14ac:dyDescent="0.2">
      <c r="A43" s="1" t="s">
        <v>90</v>
      </c>
      <c r="B43" s="1">
        <v>2018</v>
      </c>
      <c r="C43" s="1" t="s">
        <v>21</v>
      </c>
      <c r="D43" s="1" t="s">
        <v>87</v>
      </c>
      <c r="E43" s="1" t="s">
        <v>3</v>
      </c>
      <c r="F43" s="1" t="s">
        <v>7</v>
      </c>
      <c r="G43" s="1">
        <v>15699</v>
      </c>
      <c r="H43" s="1">
        <v>17269</v>
      </c>
    </row>
    <row r="44" spans="1:8" x14ac:dyDescent="0.2">
      <c r="A44" s="1" t="s">
        <v>91</v>
      </c>
      <c r="B44" s="1">
        <v>2019</v>
      </c>
      <c r="C44" s="1" t="s">
        <v>36</v>
      </c>
      <c r="D44" s="1" t="s">
        <v>89</v>
      </c>
      <c r="E44" s="1" t="s">
        <v>11</v>
      </c>
      <c r="F44" s="1" t="s">
        <v>19</v>
      </c>
      <c r="G44" s="1">
        <v>10653</v>
      </c>
      <c r="H44" s="1">
        <v>12784</v>
      </c>
    </row>
    <row r="45" spans="1:8" x14ac:dyDescent="0.2">
      <c r="A45" s="1" t="s">
        <v>92</v>
      </c>
      <c r="B45" s="1">
        <v>2018</v>
      </c>
      <c r="C45" s="1" t="s">
        <v>21</v>
      </c>
      <c r="D45" s="1" t="s">
        <v>73</v>
      </c>
      <c r="E45" s="1" t="s">
        <v>3</v>
      </c>
      <c r="F45" s="1" t="s">
        <v>19</v>
      </c>
      <c r="G45" s="1">
        <v>12828</v>
      </c>
      <c r="H45" s="1">
        <v>14111</v>
      </c>
    </row>
    <row r="46" spans="1:8" x14ac:dyDescent="0.2">
      <c r="A46" s="1" t="s">
        <v>93</v>
      </c>
      <c r="B46" s="1">
        <v>2018</v>
      </c>
      <c r="C46" s="1" t="s">
        <v>25</v>
      </c>
      <c r="D46" s="1" t="s">
        <v>26</v>
      </c>
      <c r="E46" s="1" t="s">
        <v>3</v>
      </c>
      <c r="F46" s="1" t="s">
        <v>19</v>
      </c>
      <c r="G46" s="1">
        <v>24103</v>
      </c>
      <c r="H46" s="1">
        <v>26513</v>
      </c>
    </row>
    <row r="47" spans="1:8" x14ac:dyDescent="0.2">
      <c r="A47" s="1" t="s">
        <v>94</v>
      </c>
      <c r="B47" s="1">
        <v>2018</v>
      </c>
      <c r="C47" s="1" t="s">
        <v>25</v>
      </c>
      <c r="D47" s="1" t="s">
        <v>95</v>
      </c>
      <c r="E47" s="1" t="s">
        <v>38</v>
      </c>
      <c r="F47" s="1" t="s">
        <v>27</v>
      </c>
      <c r="G47" s="1">
        <v>26578</v>
      </c>
      <c r="H47" s="1">
        <v>29236</v>
      </c>
    </row>
    <row r="48" spans="1:8" x14ac:dyDescent="0.2">
      <c r="A48" s="1" t="s">
        <v>96</v>
      </c>
      <c r="B48" s="1">
        <v>2018</v>
      </c>
      <c r="C48" s="1" t="s">
        <v>1</v>
      </c>
      <c r="D48" s="1" t="s">
        <v>31</v>
      </c>
      <c r="E48" s="1" t="s">
        <v>18</v>
      </c>
      <c r="F48" s="1" t="s">
        <v>32</v>
      </c>
      <c r="G48" s="1">
        <v>19256</v>
      </c>
      <c r="H48" s="1">
        <v>21182</v>
      </c>
    </row>
    <row r="49" spans="1:8" x14ac:dyDescent="0.2">
      <c r="A49" s="1" t="s">
        <v>97</v>
      </c>
      <c r="B49" s="1">
        <v>2018</v>
      </c>
      <c r="C49" s="1" t="s">
        <v>36</v>
      </c>
      <c r="D49" s="1" t="s">
        <v>98</v>
      </c>
      <c r="E49" s="1" t="s">
        <v>3</v>
      </c>
      <c r="F49" s="1" t="s">
        <v>4</v>
      </c>
      <c r="G49" s="1">
        <v>34702</v>
      </c>
      <c r="H49" s="1">
        <v>38172</v>
      </c>
    </row>
    <row r="50" spans="1:8" x14ac:dyDescent="0.2">
      <c r="A50" s="1" t="s">
        <v>99</v>
      </c>
      <c r="B50" s="1">
        <v>2018</v>
      </c>
      <c r="C50" s="1" t="s">
        <v>14</v>
      </c>
      <c r="D50" s="1" t="s">
        <v>15</v>
      </c>
      <c r="E50" s="1" t="s">
        <v>3</v>
      </c>
      <c r="F50" s="1" t="s">
        <v>47</v>
      </c>
      <c r="G50" s="1">
        <v>15637</v>
      </c>
      <c r="H50" s="1">
        <v>17201</v>
      </c>
    </row>
    <row r="51" spans="1:8" x14ac:dyDescent="0.2">
      <c r="A51" s="1" t="s">
        <v>100</v>
      </c>
      <c r="B51" s="1">
        <v>2019</v>
      </c>
      <c r="C51" s="1" t="s">
        <v>25</v>
      </c>
      <c r="D51" s="1" t="s">
        <v>58</v>
      </c>
      <c r="E51" s="1" t="s">
        <v>3</v>
      </c>
      <c r="F51" s="1" t="s">
        <v>4</v>
      </c>
      <c r="G51" s="1">
        <v>25104</v>
      </c>
      <c r="H51" s="1">
        <v>30125</v>
      </c>
    </row>
    <row r="52" spans="1:8" x14ac:dyDescent="0.2">
      <c r="A52" s="1" t="s">
        <v>101</v>
      </c>
      <c r="B52" s="1">
        <v>2019</v>
      </c>
      <c r="C52" s="1" t="s">
        <v>36</v>
      </c>
      <c r="D52" s="1" t="s">
        <v>55</v>
      </c>
      <c r="E52" s="1" t="s">
        <v>11</v>
      </c>
      <c r="F52" s="1" t="s">
        <v>7</v>
      </c>
      <c r="G52" s="1">
        <v>10503</v>
      </c>
      <c r="H52" s="1">
        <v>12604</v>
      </c>
    </row>
    <row r="53" spans="1:8" x14ac:dyDescent="0.2">
      <c r="A53" s="1" t="s">
        <v>102</v>
      </c>
      <c r="B53" s="1">
        <v>2019</v>
      </c>
      <c r="C53" s="1" t="s">
        <v>1</v>
      </c>
      <c r="D53" s="1" t="s">
        <v>2</v>
      </c>
      <c r="E53" s="1" t="s">
        <v>3</v>
      </c>
      <c r="F53" s="1" t="s">
        <v>27</v>
      </c>
      <c r="G53" s="1">
        <v>17688</v>
      </c>
      <c r="H53" s="1">
        <v>21226</v>
      </c>
    </row>
    <row r="54" spans="1:8" x14ac:dyDescent="0.2">
      <c r="A54" s="1" t="s">
        <v>103</v>
      </c>
      <c r="B54" s="1">
        <v>2018</v>
      </c>
      <c r="C54" s="1" t="s">
        <v>25</v>
      </c>
      <c r="D54" s="1" t="s">
        <v>95</v>
      </c>
      <c r="E54" s="1" t="s">
        <v>38</v>
      </c>
      <c r="F54" s="1" t="s">
        <v>27</v>
      </c>
      <c r="G54" s="1">
        <v>29082</v>
      </c>
      <c r="H54" s="1">
        <v>31990</v>
      </c>
    </row>
    <row r="55" spans="1:8" x14ac:dyDescent="0.2">
      <c r="A55" s="1" t="s">
        <v>104</v>
      </c>
      <c r="B55" s="1">
        <v>2019</v>
      </c>
      <c r="C55" s="1" t="s">
        <v>21</v>
      </c>
      <c r="D55" s="1" t="s">
        <v>105</v>
      </c>
      <c r="E55" s="1" t="s">
        <v>3</v>
      </c>
      <c r="F55" s="1" t="s">
        <v>32</v>
      </c>
      <c r="G55" s="1">
        <v>12996</v>
      </c>
      <c r="H55" s="1">
        <v>15595</v>
      </c>
    </row>
    <row r="56" spans="1:8" x14ac:dyDescent="0.2">
      <c r="A56" s="1" t="s">
        <v>106</v>
      </c>
      <c r="B56" s="1">
        <v>2018</v>
      </c>
      <c r="C56" s="1" t="s">
        <v>9</v>
      </c>
      <c r="D56" s="1" t="s">
        <v>53</v>
      </c>
      <c r="E56" s="1" t="s">
        <v>11</v>
      </c>
      <c r="F56" s="1" t="s">
        <v>19</v>
      </c>
      <c r="G56" s="1">
        <v>14701</v>
      </c>
      <c r="H56" s="1">
        <v>16171</v>
      </c>
    </row>
    <row r="57" spans="1:8" x14ac:dyDescent="0.2">
      <c r="A57" s="1" t="s">
        <v>107</v>
      </c>
      <c r="B57" s="1">
        <v>2018</v>
      </c>
      <c r="C57" s="1" t="s">
        <v>36</v>
      </c>
      <c r="D57" s="1" t="s">
        <v>55</v>
      </c>
      <c r="E57" s="1" t="s">
        <v>11</v>
      </c>
      <c r="F57" s="1" t="s">
        <v>12</v>
      </c>
      <c r="G57" s="1">
        <v>9236</v>
      </c>
      <c r="H57" s="1">
        <v>10160</v>
      </c>
    </row>
    <row r="58" spans="1:8" x14ac:dyDescent="0.2">
      <c r="A58" s="1" t="s">
        <v>108</v>
      </c>
      <c r="B58" s="1">
        <v>2018</v>
      </c>
      <c r="C58" s="1" t="s">
        <v>14</v>
      </c>
      <c r="D58" s="1" t="s">
        <v>43</v>
      </c>
      <c r="E58" s="1" t="s">
        <v>3</v>
      </c>
      <c r="F58" s="1" t="s">
        <v>7</v>
      </c>
      <c r="G58" s="1">
        <v>23590</v>
      </c>
      <c r="H58" s="1">
        <v>25949</v>
      </c>
    </row>
    <row r="59" spans="1:8" x14ac:dyDescent="0.2">
      <c r="A59" s="1" t="s">
        <v>109</v>
      </c>
      <c r="B59" s="1">
        <v>2018</v>
      </c>
      <c r="C59" s="1" t="s">
        <v>21</v>
      </c>
      <c r="D59" s="1" t="s">
        <v>73</v>
      </c>
      <c r="E59" s="1" t="s">
        <v>3</v>
      </c>
      <c r="F59" s="1" t="s">
        <v>4</v>
      </c>
      <c r="G59" s="1">
        <v>14749</v>
      </c>
      <c r="H59" s="1">
        <v>16224</v>
      </c>
    </row>
    <row r="60" spans="1:8" x14ac:dyDescent="0.2">
      <c r="A60" s="1" t="s">
        <v>110</v>
      </c>
      <c r="B60" s="1">
        <v>2018</v>
      </c>
      <c r="C60" s="1" t="s">
        <v>36</v>
      </c>
      <c r="D60" s="1" t="s">
        <v>111</v>
      </c>
      <c r="E60" s="1" t="s">
        <v>3</v>
      </c>
      <c r="F60" s="1" t="s">
        <v>47</v>
      </c>
      <c r="G60" s="1">
        <v>11087</v>
      </c>
      <c r="H60" s="1">
        <v>12196</v>
      </c>
    </row>
    <row r="61" spans="1:8" x14ac:dyDescent="0.2">
      <c r="A61" s="1" t="s">
        <v>112</v>
      </c>
      <c r="B61" s="1">
        <v>2019</v>
      </c>
      <c r="C61" s="1" t="s">
        <v>21</v>
      </c>
      <c r="D61" s="1" t="s">
        <v>87</v>
      </c>
      <c r="E61" s="1" t="s">
        <v>3</v>
      </c>
      <c r="F61" s="1" t="s">
        <v>32</v>
      </c>
      <c r="G61" s="1">
        <v>10242</v>
      </c>
      <c r="H61" s="1">
        <v>12290</v>
      </c>
    </row>
    <row r="62" spans="1:8" x14ac:dyDescent="0.2">
      <c r="A62" s="1" t="s">
        <v>113</v>
      </c>
      <c r="B62" s="1">
        <v>2018</v>
      </c>
      <c r="C62" s="1" t="s">
        <v>25</v>
      </c>
      <c r="D62" s="1" t="s">
        <v>50</v>
      </c>
      <c r="E62" s="1" t="s">
        <v>3</v>
      </c>
      <c r="F62" s="1" t="s">
        <v>32</v>
      </c>
      <c r="G62" s="1">
        <v>24741</v>
      </c>
      <c r="H62" s="1">
        <v>27215</v>
      </c>
    </row>
    <row r="63" spans="1:8" x14ac:dyDescent="0.2">
      <c r="A63" s="1" t="s">
        <v>114</v>
      </c>
      <c r="B63" s="1">
        <v>2018</v>
      </c>
      <c r="C63" s="1" t="s">
        <v>1</v>
      </c>
      <c r="D63" s="1" t="s">
        <v>2</v>
      </c>
      <c r="E63" s="1" t="s">
        <v>3</v>
      </c>
      <c r="F63" s="1" t="s">
        <v>32</v>
      </c>
      <c r="G63" s="1">
        <v>20326</v>
      </c>
      <c r="H63" s="1">
        <v>22359</v>
      </c>
    </row>
    <row r="64" spans="1:8" x14ac:dyDescent="0.2">
      <c r="A64" s="1" t="s">
        <v>115</v>
      </c>
      <c r="B64" s="1">
        <v>2019</v>
      </c>
      <c r="C64" s="1" t="s">
        <v>25</v>
      </c>
      <c r="D64" s="1" t="s">
        <v>26</v>
      </c>
      <c r="E64" s="1" t="s">
        <v>3</v>
      </c>
      <c r="F64" s="1" t="s">
        <v>47</v>
      </c>
      <c r="G64" s="1">
        <v>26195</v>
      </c>
      <c r="H64" s="1">
        <v>31434</v>
      </c>
    </row>
    <row r="65" spans="1:8" x14ac:dyDescent="0.2">
      <c r="A65" s="1" t="s">
        <v>116</v>
      </c>
      <c r="B65" s="1">
        <v>2018</v>
      </c>
      <c r="C65" s="1" t="s">
        <v>9</v>
      </c>
      <c r="D65" s="1" t="s">
        <v>83</v>
      </c>
      <c r="E65" s="1" t="s">
        <v>11</v>
      </c>
      <c r="F65" s="1" t="s">
        <v>27</v>
      </c>
      <c r="G65" s="1">
        <v>17553</v>
      </c>
      <c r="H65" s="1">
        <v>19308</v>
      </c>
    </row>
    <row r="66" spans="1:8" x14ac:dyDescent="0.2">
      <c r="A66" s="1" t="s">
        <v>117</v>
      </c>
      <c r="B66" s="1">
        <v>2019</v>
      </c>
      <c r="C66" s="1" t="s">
        <v>1</v>
      </c>
      <c r="D66" s="1" t="s">
        <v>31</v>
      </c>
      <c r="E66" s="1" t="s">
        <v>18</v>
      </c>
      <c r="F66" s="1" t="s">
        <v>32</v>
      </c>
      <c r="G66" s="1">
        <v>17817</v>
      </c>
      <c r="H66" s="1">
        <v>21380</v>
      </c>
    </row>
    <row r="67" spans="1:8" x14ac:dyDescent="0.2">
      <c r="A67" s="1" t="s">
        <v>118</v>
      </c>
      <c r="B67" s="1">
        <v>2018</v>
      </c>
      <c r="C67" s="1" t="s">
        <v>21</v>
      </c>
      <c r="D67" s="1" t="s">
        <v>22</v>
      </c>
      <c r="E67" s="1" t="s">
        <v>3</v>
      </c>
      <c r="F67" s="1" t="s">
        <v>27</v>
      </c>
      <c r="G67" s="1">
        <v>11123</v>
      </c>
      <c r="H67" s="1">
        <v>12235</v>
      </c>
    </row>
    <row r="68" spans="1:8" x14ac:dyDescent="0.2">
      <c r="A68" s="1" t="s">
        <v>119</v>
      </c>
      <c r="B68" s="1">
        <v>2018</v>
      </c>
      <c r="C68" s="1" t="s">
        <v>1</v>
      </c>
      <c r="D68" s="1" t="s">
        <v>29</v>
      </c>
      <c r="E68" s="1" t="s">
        <v>3</v>
      </c>
      <c r="F68" s="1" t="s">
        <v>27</v>
      </c>
      <c r="G68" s="1">
        <v>19887</v>
      </c>
      <c r="H68" s="1">
        <v>21876</v>
      </c>
    </row>
    <row r="69" spans="1:8" x14ac:dyDescent="0.2">
      <c r="A69" s="1" t="s">
        <v>120</v>
      </c>
      <c r="B69" s="1">
        <v>2019</v>
      </c>
      <c r="C69" s="1" t="s">
        <v>21</v>
      </c>
      <c r="D69" s="1" t="s">
        <v>105</v>
      </c>
      <c r="E69" s="1" t="s">
        <v>3</v>
      </c>
      <c r="F69" s="1" t="s">
        <v>4</v>
      </c>
      <c r="G69" s="1">
        <v>12620</v>
      </c>
      <c r="H69" s="1">
        <v>15144</v>
      </c>
    </row>
    <row r="70" spans="1:8" x14ac:dyDescent="0.2">
      <c r="A70" s="1" t="s">
        <v>121</v>
      </c>
      <c r="B70" s="1">
        <v>2018</v>
      </c>
      <c r="C70" s="1" t="s">
        <v>25</v>
      </c>
      <c r="D70" s="1" t="s">
        <v>58</v>
      </c>
      <c r="E70" s="1" t="s">
        <v>3</v>
      </c>
      <c r="F70" s="1" t="s">
        <v>4</v>
      </c>
      <c r="G70" s="1">
        <v>27066</v>
      </c>
      <c r="H70" s="1">
        <v>29773</v>
      </c>
    </row>
    <row r="71" spans="1:8" x14ac:dyDescent="0.2">
      <c r="A71" s="1" t="s">
        <v>122</v>
      </c>
      <c r="B71" s="1">
        <v>2019</v>
      </c>
      <c r="C71" s="1" t="s">
        <v>1</v>
      </c>
      <c r="D71" s="1" t="s">
        <v>63</v>
      </c>
      <c r="E71" s="1" t="s">
        <v>3</v>
      </c>
      <c r="F71" s="1" t="s">
        <v>32</v>
      </c>
      <c r="G71" s="1">
        <v>19587</v>
      </c>
      <c r="H71" s="1">
        <v>23504</v>
      </c>
    </row>
    <row r="72" spans="1:8" x14ac:dyDescent="0.2">
      <c r="A72" s="1" t="s">
        <v>123</v>
      </c>
      <c r="B72" s="1">
        <v>2018</v>
      </c>
      <c r="C72" s="1" t="s">
        <v>21</v>
      </c>
      <c r="D72" s="1" t="s">
        <v>73</v>
      </c>
      <c r="E72" s="1" t="s">
        <v>3</v>
      </c>
      <c r="F72" s="1" t="s">
        <v>47</v>
      </c>
      <c r="G72" s="1">
        <v>13324</v>
      </c>
      <c r="H72" s="1">
        <v>14656</v>
      </c>
    </row>
    <row r="73" spans="1:8" x14ac:dyDescent="0.2">
      <c r="A73" s="1" t="s">
        <v>124</v>
      </c>
      <c r="B73" s="1">
        <v>2018</v>
      </c>
      <c r="C73" s="1" t="s">
        <v>9</v>
      </c>
      <c r="D73" s="1" t="s">
        <v>83</v>
      </c>
      <c r="E73" s="1" t="s">
        <v>11</v>
      </c>
      <c r="F73" s="1" t="s">
        <v>7</v>
      </c>
      <c r="G73" s="1">
        <v>17123</v>
      </c>
      <c r="H73" s="1">
        <v>18835</v>
      </c>
    </row>
    <row r="74" spans="1:8" x14ac:dyDescent="0.2">
      <c r="A74" s="1" t="s">
        <v>125</v>
      </c>
      <c r="B74" s="1">
        <v>2019</v>
      </c>
      <c r="C74" s="1" t="s">
        <v>14</v>
      </c>
      <c r="D74" s="1" t="s">
        <v>43</v>
      </c>
      <c r="E74" s="1" t="s">
        <v>3</v>
      </c>
      <c r="F74" s="1" t="s">
        <v>4</v>
      </c>
      <c r="G74" s="1">
        <v>26832</v>
      </c>
      <c r="H74" s="1">
        <v>32198</v>
      </c>
    </row>
    <row r="75" spans="1:8" x14ac:dyDescent="0.2">
      <c r="A75" s="1" t="s">
        <v>126</v>
      </c>
      <c r="B75" s="1">
        <v>2019</v>
      </c>
      <c r="C75" s="1" t="s">
        <v>36</v>
      </c>
      <c r="D75" s="1" t="s">
        <v>127</v>
      </c>
      <c r="E75" s="1" t="s">
        <v>3</v>
      </c>
      <c r="F75" s="1" t="s">
        <v>27</v>
      </c>
      <c r="G75" s="1">
        <v>14188</v>
      </c>
      <c r="H75" s="1">
        <v>17026</v>
      </c>
    </row>
    <row r="76" spans="1:8" x14ac:dyDescent="0.2">
      <c r="A76" s="1" t="s">
        <v>128</v>
      </c>
      <c r="B76" s="1">
        <v>2018</v>
      </c>
      <c r="C76" s="1" t="s">
        <v>14</v>
      </c>
      <c r="D76" s="1" t="s">
        <v>129</v>
      </c>
      <c r="E76" s="1" t="s">
        <v>3</v>
      </c>
      <c r="F76" s="1" t="s">
        <v>4</v>
      </c>
      <c r="G76" s="1">
        <v>22279</v>
      </c>
      <c r="H76" s="1">
        <v>24507</v>
      </c>
    </row>
    <row r="77" spans="1:8" x14ac:dyDescent="0.2">
      <c r="A77" s="1" t="s">
        <v>130</v>
      </c>
      <c r="B77" s="1">
        <v>2018</v>
      </c>
      <c r="C77" s="1" t="s">
        <v>21</v>
      </c>
      <c r="D77" s="1" t="s">
        <v>105</v>
      </c>
      <c r="E77" s="1" t="s">
        <v>3</v>
      </c>
      <c r="F77" s="1" t="s">
        <v>7</v>
      </c>
      <c r="G77" s="1">
        <v>12812</v>
      </c>
      <c r="H77" s="1">
        <v>14093</v>
      </c>
    </row>
    <row r="78" spans="1:8" x14ac:dyDescent="0.2">
      <c r="A78" s="1" t="s">
        <v>131</v>
      </c>
      <c r="B78" s="1">
        <v>2019</v>
      </c>
      <c r="C78" s="1" t="s">
        <v>36</v>
      </c>
      <c r="D78" s="1" t="s">
        <v>132</v>
      </c>
      <c r="E78" s="1" t="s">
        <v>38</v>
      </c>
      <c r="F78" s="1" t="s">
        <v>7</v>
      </c>
      <c r="G78" s="1">
        <v>23230</v>
      </c>
      <c r="H78" s="1">
        <v>27876</v>
      </c>
    </row>
    <row r="79" spans="1:8" x14ac:dyDescent="0.2">
      <c r="A79" s="1" t="s">
        <v>133</v>
      </c>
      <c r="B79" s="1">
        <v>2019</v>
      </c>
      <c r="C79" s="1" t="s">
        <v>1</v>
      </c>
      <c r="D79" s="1" t="s">
        <v>29</v>
      </c>
      <c r="E79" s="1" t="s">
        <v>3</v>
      </c>
      <c r="F79" s="1" t="s">
        <v>47</v>
      </c>
      <c r="G79" s="1">
        <v>19886</v>
      </c>
      <c r="H79" s="1">
        <v>23863</v>
      </c>
    </row>
    <row r="80" spans="1:8" x14ac:dyDescent="0.2">
      <c r="A80" s="1" t="s">
        <v>134</v>
      </c>
      <c r="B80" s="1">
        <v>2018</v>
      </c>
      <c r="C80" s="1" t="s">
        <v>25</v>
      </c>
      <c r="D80" s="1" t="s">
        <v>58</v>
      </c>
      <c r="E80" s="1" t="s">
        <v>3</v>
      </c>
      <c r="F80" s="1" t="s">
        <v>27</v>
      </c>
      <c r="G80" s="1">
        <v>30861</v>
      </c>
      <c r="H80" s="1">
        <v>33947</v>
      </c>
    </row>
    <row r="81" spans="1:8" x14ac:dyDescent="0.2">
      <c r="A81" s="1" t="s">
        <v>135</v>
      </c>
      <c r="B81" s="1">
        <v>2019</v>
      </c>
      <c r="C81" s="1" t="s">
        <v>21</v>
      </c>
      <c r="D81" s="1" t="s">
        <v>22</v>
      </c>
      <c r="E81" s="1" t="s">
        <v>3</v>
      </c>
      <c r="F81" s="1" t="s">
        <v>4</v>
      </c>
      <c r="G81" s="1">
        <v>11726</v>
      </c>
      <c r="H81" s="1">
        <v>14071</v>
      </c>
    </row>
    <row r="82" spans="1:8" x14ac:dyDescent="0.2">
      <c r="A82" s="1" t="s">
        <v>136</v>
      </c>
      <c r="B82" s="1">
        <v>2019</v>
      </c>
      <c r="C82" s="1" t="s">
        <v>14</v>
      </c>
      <c r="D82" s="1" t="s">
        <v>67</v>
      </c>
      <c r="E82" s="1" t="s">
        <v>3</v>
      </c>
      <c r="F82" s="1" t="s">
        <v>19</v>
      </c>
      <c r="G82" s="1">
        <v>17925</v>
      </c>
      <c r="H82" s="1">
        <v>21510</v>
      </c>
    </row>
    <row r="83" spans="1:8" x14ac:dyDescent="0.2">
      <c r="A83" s="1" t="s">
        <v>137</v>
      </c>
      <c r="B83" s="1">
        <v>2018</v>
      </c>
      <c r="C83" s="1" t="s">
        <v>9</v>
      </c>
      <c r="D83" s="1" t="s">
        <v>138</v>
      </c>
      <c r="E83" s="1" t="s">
        <v>38</v>
      </c>
      <c r="F83" s="1" t="s">
        <v>27</v>
      </c>
      <c r="G83" s="1">
        <v>24100</v>
      </c>
      <c r="H83" s="1">
        <v>26510</v>
      </c>
    </row>
    <row r="84" spans="1:8" x14ac:dyDescent="0.2">
      <c r="A84" s="1" t="s">
        <v>139</v>
      </c>
      <c r="B84" s="1">
        <v>2019</v>
      </c>
      <c r="C84" s="1" t="s">
        <v>1</v>
      </c>
      <c r="D84" s="1" t="s">
        <v>29</v>
      </c>
      <c r="E84" s="1" t="s">
        <v>3</v>
      </c>
      <c r="F84" s="1" t="s">
        <v>7</v>
      </c>
      <c r="G84" s="1">
        <v>21016</v>
      </c>
      <c r="H84" s="1">
        <v>25219</v>
      </c>
    </row>
    <row r="85" spans="1:8" x14ac:dyDescent="0.2">
      <c r="A85" s="1" t="s">
        <v>140</v>
      </c>
      <c r="B85" s="1">
        <v>2018</v>
      </c>
      <c r="C85" s="1" t="s">
        <v>9</v>
      </c>
      <c r="D85" s="1" t="s">
        <v>69</v>
      </c>
      <c r="E85" s="1" t="s">
        <v>38</v>
      </c>
      <c r="F85" s="1" t="s">
        <v>7</v>
      </c>
      <c r="G85" s="1">
        <v>22906</v>
      </c>
      <c r="H85" s="1">
        <v>25197</v>
      </c>
    </row>
    <row r="86" spans="1:8" x14ac:dyDescent="0.2">
      <c r="A86" s="1" t="s">
        <v>141</v>
      </c>
      <c r="B86" s="1">
        <v>2019</v>
      </c>
      <c r="C86" s="1" t="s">
        <v>14</v>
      </c>
      <c r="D86" s="1" t="s">
        <v>142</v>
      </c>
      <c r="E86" s="1" t="s">
        <v>3</v>
      </c>
      <c r="F86" s="1" t="s">
        <v>12</v>
      </c>
      <c r="G86" s="1">
        <v>21328</v>
      </c>
      <c r="H86" s="1">
        <v>25594</v>
      </c>
    </row>
    <row r="87" spans="1:8" x14ac:dyDescent="0.2">
      <c r="A87" s="1" t="s">
        <v>143</v>
      </c>
      <c r="B87" s="1">
        <v>2018</v>
      </c>
      <c r="C87" s="1" t="s">
        <v>25</v>
      </c>
      <c r="D87" s="1" t="s">
        <v>95</v>
      </c>
      <c r="E87" s="1" t="s">
        <v>38</v>
      </c>
      <c r="F87" s="1" t="s">
        <v>27</v>
      </c>
      <c r="G87" s="1">
        <v>24294</v>
      </c>
      <c r="H87" s="1">
        <v>26723</v>
      </c>
    </row>
    <row r="88" spans="1:8" x14ac:dyDescent="0.2">
      <c r="A88" s="1" t="s">
        <v>144</v>
      </c>
      <c r="B88" s="1">
        <v>2019</v>
      </c>
      <c r="C88" s="1" t="s">
        <v>9</v>
      </c>
      <c r="D88" s="1" t="s">
        <v>83</v>
      </c>
      <c r="E88" s="1" t="s">
        <v>11</v>
      </c>
      <c r="F88" s="1" t="s">
        <v>4</v>
      </c>
      <c r="G88" s="1">
        <v>16557</v>
      </c>
      <c r="H88" s="1">
        <v>19868</v>
      </c>
    </row>
    <row r="89" spans="1:8" x14ac:dyDescent="0.2">
      <c r="A89" s="1" t="s">
        <v>145</v>
      </c>
      <c r="B89" s="1">
        <v>2018</v>
      </c>
      <c r="C89" s="1" t="s">
        <v>14</v>
      </c>
      <c r="D89" s="1" t="s">
        <v>43</v>
      </c>
      <c r="E89" s="1" t="s">
        <v>3</v>
      </c>
      <c r="F89" s="1" t="s">
        <v>19</v>
      </c>
      <c r="G89" s="1">
        <v>25619</v>
      </c>
      <c r="H89" s="1">
        <v>28181</v>
      </c>
    </row>
    <row r="90" spans="1:8" x14ac:dyDescent="0.2">
      <c r="A90" s="1" t="s">
        <v>146</v>
      </c>
      <c r="B90" s="1">
        <v>2018</v>
      </c>
      <c r="C90" s="1" t="s">
        <v>36</v>
      </c>
      <c r="D90" s="1" t="s">
        <v>132</v>
      </c>
      <c r="E90" s="1" t="s">
        <v>38</v>
      </c>
      <c r="F90" s="1" t="s">
        <v>19</v>
      </c>
      <c r="G90" s="1">
        <v>24089</v>
      </c>
      <c r="H90" s="1">
        <v>26498</v>
      </c>
    </row>
    <row r="91" spans="1:8" x14ac:dyDescent="0.2">
      <c r="A91" s="1" t="s">
        <v>147</v>
      </c>
      <c r="B91" s="1">
        <v>2019</v>
      </c>
      <c r="C91" s="1" t="s">
        <v>1</v>
      </c>
      <c r="D91" s="1" t="s">
        <v>31</v>
      </c>
      <c r="E91" s="1" t="s">
        <v>18</v>
      </c>
      <c r="F91" s="1" t="s">
        <v>32</v>
      </c>
      <c r="G91" s="1">
        <v>17239</v>
      </c>
      <c r="H91" s="1">
        <v>20687</v>
      </c>
    </row>
    <row r="92" spans="1:8" x14ac:dyDescent="0.2">
      <c r="A92" s="1" t="s">
        <v>148</v>
      </c>
      <c r="B92" s="1">
        <v>2018</v>
      </c>
      <c r="C92" s="1" t="s">
        <v>21</v>
      </c>
      <c r="D92" s="1" t="s">
        <v>73</v>
      </c>
      <c r="E92" s="1" t="s">
        <v>3</v>
      </c>
      <c r="F92" s="1" t="s">
        <v>4</v>
      </c>
      <c r="G92" s="1">
        <v>12820</v>
      </c>
      <c r="H92" s="1">
        <v>14102</v>
      </c>
    </row>
    <row r="93" spans="1:8" x14ac:dyDescent="0.2">
      <c r="A93" s="1" t="s">
        <v>149</v>
      </c>
      <c r="B93" s="1">
        <v>2019</v>
      </c>
      <c r="C93" s="1" t="s">
        <v>36</v>
      </c>
      <c r="D93" s="1" t="s">
        <v>150</v>
      </c>
      <c r="E93" s="1" t="s">
        <v>18</v>
      </c>
      <c r="F93" s="1" t="s">
        <v>32</v>
      </c>
      <c r="G93" s="1">
        <v>18078</v>
      </c>
      <c r="H93" s="1">
        <v>21694</v>
      </c>
    </row>
    <row r="94" spans="1:8" x14ac:dyDescent="0.2">
      <c r="A94" s="1" t="s">
        <v>151</v>
      </c>
      <c r="B94" s="1">
        <v>2018</v>
      </c>
      <c r="C94" s="1" t="s">
        <v>21</v>
      </c>
      <c r="D94" s="1" t="s">
        <v>152</v>
      </c>
      <c r="E94" s="1" t="s">
        <v>3</v>
      </c>
      <c r="F94" s="1" t="s">
        <v>7</v>
      </c>
      <c r="G94" s="1">
        <v>13567</v>
      </c>
      <c r="H94" s="1">
        <v>14924</v>
      </c>
    </row>
    <row r="95" spans="1:8" x14ac:dyDescent="0.2">
      <c r="A95" s="1" t="s">
        <v>153</v>
      </c>
      <c r="B95" s="1">
        <v>2018</v>
      </c>
      <c r="C95" s="1" t="s">
        <v>21</v>
      </c>
      <c r="D95" s="1" t="s">
        <v>73</v>
      </c>
      <c r="E95" s="1" t="s">
        <v>3</v>
      </c>
      <c r="F95" s="1" t="s">
        <v>4</v>
      </c>
      <c r="G95" s="1">
        <v>10253</v>
      </c>
      <c r="H95" s="1">
        <v>11278</v>
      </c>
    </row>
    <row r="96" spans="1:8" x14ac:dyDescent="0.2">
      <c r="A96" s="1" t="s">
        <v>154</v>
      </c>
      <c r="B96" s="1">
        <v>2018</v>
      </c>
      <c r="C96" s="1" t="s">
        <v>14</v>
      </c>
      <c r="D96" s="1" t="s">
        <v>78</v>
      </c>
      <c r="E96" s="1" t="s">
        <v>38</v>
      </c>
      <c r="F96" s="1" t="s">
        <v>12</v>
      </c>
      <c r="G96" s="1">
        <v>29317</v>
      </c>
      <c r="H96" s="1">
        <v>32249</v>
      </c>
    </row>
    <row r="97" spans="1:8" x14ac:dyDescent="0.2">
      <c r="A97" s="1" t="s">
        <v>155</v>
      </c>
      <c r="B97" s="1">
        <v>2018</v>
      </c>
      <c r="C97" s="1" t="s">
        <v>36</v>
      </c>
      <c r="D97" s="1" t="s">
        <v>37</v>
      </c>
      <c r="E97" s="1" t="s">
        <v>38</v>
      </c>
      <c r="F97" s="1" t="s">
        <v>19</v>
      </c>
      <c r="G97" s="1">
        <v>23654</v>
      </c>
      <c r="H97" s="1">
        <v>26019</v>
      </c>
    </row>
    <row r="98" spans="1:8" x14ac:dyDescent="0.2">
      <c r="A98" s="1" t="s">
        <v>156</v>
      </c>
      <c r="B98" s="1">
        <v>2018</v>
      </c>
      <c r="C98" s="1" t="s">
        <v>21</v>
      </c>
      <c r="D98" s="1" t="s">
        <v>73</v>
      </c>
      <c r="E98" s="1" t="s">
        <v>3</v>
      </c>
      <c r="F98" s="1" t="s">
        <v>47</v>
      </c>
      <c r="G98" s="1">
        <v>11356</v>
      </c>
      <c r="H98" s="1">
        <v>12492</v>
      </c>
    </row>
    <row r="99" spans="1:8" x14ac:dyDescent="0.2">
      <c r="A99" s="1" t="s">
        <v>157</v>
      </c>
      <c r="B99" s="1">
        <v>2018</v>
      </c>
      <c r="C99" s="1" t="s">
        <v>1</v>
      </c>
      <c r="D99" s="1" t="s">
        <v>65</v>
      </c>
      <c r="E99" s="1" t="s">
        <v>3</v>
      </c>
      <c r="F99" s="1" t="s">
        <v>32</v>
      </c>
      <c r="G99" s="1">
        <v>18382</v>
      </c>
      <c r="H99" s="1">
        <v>20220</v>
      </c>
    </row>
    <row r="100" spans="1:8" x14ac:dyDescent="0.2">
      <c r="A100" s="1" t="s">
        <v>158</v>
      </c>
      <c r="B100" s="1">
        <v>2018</v>
      </c>
      <c r="C100" s="1" t="s">
        <v>14</v>
      </c>
      <c r="D100" s="1" t="s">
        <v>34</v>
      </c>
      <c r="E100" s="1" t="s">
        <v>3</v>
      </c>
      <c r="F100" s="1" t="s">
        <v>12</v>
      </c>
      <c r="G100" s="1">
        <v>21601</v>
      </c>
      <c r="H100" s="1">
        <v>23761</v>
      </c>
    </row>
    <row r="101" spans="1:8" x14ac:dyDescent="0.2">
      <c r="A101" s="1" t="s">
        <v>159</v>
      </c>
      <c r="B101" s="1">
        <v>2018</v>
      </c>
      <c r="C101" s="1" t="s">
        <v>9</v>
      </c>
      <c r="D101" s="1" t="s">
        <v>69</v>
      </c>
      <c r="E101" s="1" t="s">
        <v>38</v>
      </c>
      <c r="F101" s="1" t="s">
        <v>32</v>
      </c>
      <c r="G101" s="1">
        <v>24099</v>
      </c>
      <c r="H101" s="1">
        <v>26509</v>
      </c>
    </row>
    <row r="102" spans="1:8" x14ac:dyDescent="0.2">
      <c r="A102" s="1" t="s">
        <v>160</v>
      </c>
      <c r="B102" s="1">
        <v>2019</v>
      </c>
      <c r="C102" s="1" t="s">
        <v>21</v>
      </c>
      <c r="D102" s="1" t="s">
        <v>87</v>
      </c>
      <c r="E102" s="1" t="s">
        <v>3</v>
      </c>
      <c r="F102" s="1" t="s">
        <v>27</v>
      </c>
      <c r="G102" s="1">
        <v>13174</v>
      </c>
      <c r="H102" s="1">
        <v>15809</v>
      </c>
    </row>
    <row r="103" spans="1:8" x14ac:dyDescent="0.2">
      <c r="A103" s="1" t="s">
        <v>161</v>
      </c>
      <c r="B103" s="1">
        <v>2018</v>
      </c>
      <c r="C103" s="1" t="s">
        <v>9</v>
      </c>
      <c r="D103" s="1" t="s">
        <v>75</v>
      </c>
      <c r="E103" s="1" t="s">
        <v>18</v>
      </c>
      <c r="F103" s="1" t="s">
        <v>32</v>
      </c>
      <c r="G103" s="1">
        <v>15273</v>
      </c>
      <c r="H103" s="1">
        <v>16800</v>
      </c>
    </row>
    <row r="104" spans="1:8" x14ac:dyDescent="0.2">
      <c r="A104" s="1" t="s">
        <v>162</v>
      </c>
      <c r="B104" s="1">
        <v>2019</v>
      </c>
      <c r="C104" s="1" t="s">
        <v>36</v>
      </c>
      <c r="D104" s="1" t="s">
        <v>37</v>
      </c>
      <c r="E104" s="1" t="s">
        <v>38</v>
      </c>
      <c r="F104" s="1" t="s">
        <v>32</v>
      </c>
      <c r="G104" s="1">
        <v>25824</v>
      </c>
      <c r="H104" s="1">
        <v>30989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00C1C-E839-8845-B30E-1F4257D59620}">
  <sheetPr codeName="Sheet2"/>
  <dimension ref="A1:K107"/>
  <sheetViews>
    <sheetView zoomScale="130" zoomScaleNormal="130" workbookViewId="0">
      <selection activeCell="L3" sqref="L3"/>
    </sheetView>
  </sheetViews>
  <sheetFormatPr baseColWidth="10" defaultRowHeight="16" x14ac:dyDescent="0.2"/>
  <cols>
    <col min="1" max="1" width="18.33203125" bestFit="1" customWidth="1"/>
    <col min="2" max="2" width="5.1640625" bestFit="1" customWidth="1"/>
    <col min="3" max="3" width="9.6640625" bestFit="1" customWidth="1"/>
    <col min="4" max="4" width="13.33203125" bestFit="1" customWidth="1"/>
    <col min="5" max="5" width="12.83203125" bestFit="1" customWidth="1"/>
    <col min="6" max="6" width="6.1640625" bestFit="1" customWidth="1"/>
    <col min="7" max="7" width="12.33203125" style="5" bestFit="1" customWidth="1"/>
    <col min="8" max="8" width="11.1640625" style="5" bestFit="1" customWidth="1"/>
    <col min="9" max="9" width="24" bestFit="1" customWidth="1"/>
  </cols>
  <sheetData>
    <row r="1" spans="1:11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3" t="s">
        <v>170</v>
      </c>
      <c r="H1" s="3" t="s">
        <v>169</v>
      </c>
      <c r="I1" s="2" t="s">
        <v>171</v>
      </c>
    </row>
    <row r="2" spans="1:11" s="2" customFormat="1" x14ac:dyDescent="0.2">
      <c r="A2" s="1" t="s">
        <v>0</v>
      </c>
      <c r="B2" s="1">
        <v>2019</v>
      </c>
      <c r="C2" s="1" t="s">
        <v>1</v>
      </c>
      <c r="D2" s="1" t="s">
        <v>2</v>
      </c>
      <c r="E2" s="1" t="s">
        <v>3</v>
      </c>
      <c r="F2" s="1" t="s">
        <v>4</v>
      </c>
      <c r="G2" s="4">
        <v>16084</v>
      </c>
      <c r="H2" s="4">
        <v>19301</v>
      </c>
      <c r="I2" s="7" t="str" cm="1">
        <f t="array" ref="I2">MSRPStatus(H2)</f>
        <v>Less than 20k</v>
      </c>
    </row>
    <row r="3" spans="1:11" s="2" customFormat="1" x14ac:dyDescent="0.2">
      <c r="A3" s="1" t="s">
        <v>5</v>
      </c>
      <c r="B3" s="1">
        <v>2018</v>
      </c>
      <c r="C3" s="1" t="s">
        <v>1</v>
      </c>
      <c r="D3" s="1" t="s">
        <v>6</v>
      </c>
      <c r="E3" s="1" t="s">
        <v>3</v>
      </c>
      <c r="F3" s="1" t="s">
        <v>7</v>
      </c>
      <c r="G3" s="4">
        <v>21772</v>
      </c>
      <c r="H3" s="4">
        <v>23949</v>
      </c>
      <c r="I3" s="7" t="str" cm="1">
        <f t="array" ref="I3">MSRPStatus(H3)</f>
        <v>Less than 30k</v>
      </c>
      <c r="J3" s="6"/>
      <c r="K3" s="6"/>
    </row>
    <row r="4" spans="1:11" x14ac:dyDescent="0.2">
      <c r="A4" s="1" t="s">
        <v>8</v>
      </c>
      <c r="B4" s="1">
        <v>2018</v>
      </c>
      <c r="C4" s="1" t="s">
        <v>9</v>
      </c>
      <c r="D4" s="1" t="s">
        <v>10</v>
      </c>
      <c r="E4" s="1" t="s">
        <v>11</v>
      </c>
      <c r="F4" s="1" t="s">
        <v>12</v>
      </c>
      <c r="G4" s="4">
        <v>15812</v>
      </c>
      <c r="H4" s="4">
        <v>17393</v>
      </c>
      <c r="I4" s="7" t="str" cm="1">
        <f t="array" ref="I4">MSRPStatus(H4)</f>
        <v>Less than 20k</v>
      </c>
    </row>
    <row r="5" spans="1:11" x14ac:dyDescent="0.2">
      <c r="A5" s="1" t="s">
        <v>13</v>
      </c>
      <c r="B5" s="1">
        <v>2018</v>
      </c>
      <c r="C5" s="1" t="s">
        <v>14</v>
      </c>
      <c r="D5" s="1" t="s">
        <v>15</v>
      </c>
      <c r="E5" s="1" t="s">
        <v>3</v>
      </c>
      <c r="F5" s="1" t="s">
        <v>7</v>
      </c>
      <c r="G5" s="4">
        <v>17944</v>
      </c>
      <c r="H5" s="4">
        <v>19738</v>
      </c>
      <c r="I5" s="7" t="str" cm="1">
        <f t="array" ref="I5">MSRPStatus(H5)</f>
        <v>Less than 20k</v>
      </c>
    </row>
    <row r="6" spans="1:11" x14ac:dyDescent="0.2">
      <c r="A6" s="1" t="s">
        <v>16</v>
      </c>
      <c r="B6" s="1">
        <v>2018</v>
      </c>
      <c r="C6" s="1" t="s">
        <v>1</v>
      </c>
      <c r="D6" s="1" t="s">
        <v>17</v>
      </c>
      <c r="E6" s="1" t="s">
        <v>18</v>
      </c>
      <c r="F6" s="1" t="s">
        <v>19</v>
      </c>
      <c r="G6" s="4">
        <v>19705</v>
      </c>
      <c r="H6" s="4">
        <v>21676</v>
      </c>
      <c r="I6" s="7" t="str" cm="1">
        <f t="array" ref="I6">MSRPStatus(H6)</f>
        <v>Less than 30k</v>
      </c>
    </row>
    <row r="7" spans="1:11" x14ac:dyDescent="0.2">
      <c r="A7" s="1" t="s">
        <v>20</v>
      </c>
      <c r="B7" s="1">
        <v>2019</v>
      </c>
      <c r="C7" s="1" t="s">
        <v>21</v>
      </c>
      <c r="D7" s="1" t="s">
        <v>22</v>
      </c>
      <c r="E7" s="1" t="s">
        <v>3</v>
      </c>
      <c r="F7" s="1" t="s">
        <v>12</v>
      </c>
      <c r="G7" s="4">
        <v>12292</v>
      </c>
      <c r="H7" s="4">
        <v>14750</v>
      </c>
      <c r="I7" s="7" t="str" cm="1">
        <f t="array" ref="I7">MSRPStatus(H7)</f>
        <v>Less than 20k</v>
      </c>
    </row>
    <row r="8" spans="1:11" x14ac:dyDescent="0.2">
      <c r="A8" s="1" t="s">
        <v>23</v>
      </c>
      <c r="B8" s="1">
        <v>2019</v>
      </c>
      <c r="C8" s="1" t="s">
        <v>9</v>
      </c>
      <c r="D8" s="1" t="s">
        <v>10</v>
      </c>
      <c r="E8" s="1" t="s">
        <v>11</v>
      </c>
      <c r="F8" s="1" t="s">
        <v>19</v>
      </c>
      <c r="G8" s="4">
        <v>15460</v>
      </c>
      <c r="H8" s="4">
        <v>18552</v>
      </c>
      <c r="I8" s="7" t="str" cm="1">
        <f t="array" ref="I8">MSRPStatus(H8)</f>
        <v>Less than 20k</v>
      </c>
    </row>
    <row r="9" spans="1:11" x14ac:dyDescent="0.2">
      <c r="A9" s="1" t="s">
        <v>24</v>
      </c>
      <c r="B9" s="1">
        <v>2019</v>
      </c>
      <c r="C9" s="1" t="s">
        <v>25</v>
      </c>
      <c r="D9" s="1" t="s">
        <v>26</v>
      </c>
      <c r="E9" s="1" t="s">
        <v>3</v>
      </c>
      <c r="F9" s="1" t="s">
        <v>27</v>
      </c>
      <c r="G9" s="4">
        <v>28580</v>
      </c>
      <c r="H9" s="4">
        <v>34296</v>
      </c>
      <c r="I9" s="7" t="str" cm="1">
        <f t="array" ref="I9">MSRPStatus(H9)</f>
        <v>Greater than or equal to 30k</v>
      </c>
    </row>
    <row r="10" spans="1:11" x14ac:dyDescent="0.2">
      <c r="A10" s="1" t="s">
        <v>28</v>
      </c>
      <c r="B10" s="1">
        <v>2018</v>
      </c>
      <c r="C10" s="1" t="s">
        <v>1</v>
      </c>
      <c r="D10" s="1" t="s">
        <v>29</v>
      </c>
      <c r="E10" s="1" t="s">
        <v>3</v>
      </c>
      <c r="F10" s="1" t="s">
        <v>27</v>
      </c>
      <c r="G10" s="4">
        <v>18571</v>
      </c>
      <c r="H10" s="4">
        <v>20428</v>
      </c>
      <c r="I10" s="7" t="str" cm="1">
        <f t="array" ref="I10">MSRPStatus(H10)</f>
        <v>Less than 30k</v>
      </c>
    </row>
    <row r="11" spans="1:11" x14ac:dyDescent="0.2">
      <c r="A11" s="1" t="s">
        <v>30</v>
      </c>
      <c r="B11" s="1">
        <v>2019</v>
      </c>
      <c r="C11" s="1" t="s">
        <v>1</v>
      </c>
      <c r="D11" s="1" t="s">
        <v>31</v>
      </c>
      <c r="E11" s="1" t="s">
        <v>18</v>
      </c>
      <c r="F11" s="1" t="s">
        <v>32</v>
      </c>
      <c r="G11" s="4">
        <v>18721</v>
      </c>
      <c r="H11" s="4">
        <v>22465</v>
      </c>
      <c r="I11" s="7" t="str" cm="1">
        <f t="array" ref="I11">MSRPStatus(H11)</f>
        <v>Less than 30k</v>
      </c>
    </row>
    <row r="12" spans="1:11" x14ac:dyDescent="0.2">
      <c r="A12" s="1" t="s">
        <v>33</v>
      </c>
      <c r="B12" s="1">
        <v>2019</v>
      </c>
      <c r="C12" s="1" t="s">
        <v>14</v>
      </c>
      <c r="D12" s="1" t="s">
        <v>34</v>
      </c>
      <c r="E12" s="1" t="s">
        <v>3</v>
      </c>
      <c r="F12" s="1" t="s">
        <v>4</v>
      </c>
      <c r="G12" s="4">
        <v>22463</v>
      </c>
      <c r="H12" s="4">
        <v>26956</v>
      </c>
      <c r="I12" s="7" t="str" cm="1">
        <f t="array" ref="I12">MSRPStatus(H12)</f>
        <v>Less than 30k</v>
      </c>
    </row>
    <row r="13" spans="1:11" x14ac:dyDescent="0.2">
      <c r="A13" s="1" t="s">
        <v>35</v>
      </c>
      <c r="B13" s="1">
        <v>2019</v>
      </c>
      <c r="C13" s="1" t="s">
        <v>36</v>
      </c>
      <c r="D13" s="1" t="s">
        <v>37</v>
      </c>
      <c r="E13" s="1" t="s">
        <v>38</v>
      </c>
      <c r="F13" s="1" t="s">
        <v>32</v>
      </c>
      <c r="G13" s="4">
        <v>23773</v>
      </c>
      <c r="H13" s="4">
        <v>28528</v>
      </c>
      <c r="I13" s="7" t="str" cm="1">
        <f t="array" ref="I13">MSRPStatus(H13)</f>
        <v>Less than 30k</v>
      </c>
    </row>
    <row r="14" spans="1:11" x14ac:dyDescent="0.2">
      <c r="A14" s="1" t="s">
        <v>39</v>
      </c>
      <c r="B14" s="1">
        <v>2019</v>
      </c>
      <c r="C14" s="1" t="s">
        <v>9</v>
      </c>
      <c r="D14" s="1" t="s">
        <v>40</v>
      </c>
      <c r="E14" s="1" t="s">
        <v>18</v>
      </c>
      <c r="F14" s="1" t="s">
        <v>19</v>
      </c>
      <c r="G14" s="4">
        <v>17758</v>
      </c>
      <c r="H14" s="4">
        <v>21310</v>
      </c>
      <c r="I14" s="7" t="str" cm="1">
        <f t="array" ref="I14">MSRPStatus(H14)</f>
        <v>Less than 30k</v>
      </c>
    </row>
    <row r="15" spans="1:11" x14ac:dyDescent="0.2">
      <c r="A15" s="1" t="s">
        <v>41</v>
      </c>
      <c r="B15" s="1">
        <v>2019</v>
      </c>
      <c r="C15" s="1" t="s">
        <v>1</v>
      </c>
      <c r="D15" s="1" t="s">
        <v>6</v>
      </c>
      <c r="E15" s="1" t="s">
        <v>3</v>
      </c>
      <c r="F15" s="1" t="s">
        <v>19</v>
      </c>
      <c r="G15" s="4">
        <v>16770</v>
      </c>
      <c r="H15" s="4">
        <v>20124</v>
      </c>
      <c r="I15" s="7" t="str" cm="1">
        <f t="array" ref="I15">MSRPStatus(H15)</f>
        <v>Less than 30k</v>
      </c>
    </row>
    <row r="16" spans="1:11" x14ac:dyDescent="0.2">
      <c r="A16" s="1" t="s">
        <v>42</v>
      </c>
      <c r="B16" s="1">
        <v>2019</v>
      </c>
      <c r="C16" s="1" t="s">
        <v>14</v>
      </c>
      <c r="D16" s="1" t="s">
        <v>43</v>
      </c>
      <c r="E16" s="1" t="s">
        <v>3</v>
      </c>
      <c r="F16" s="1" t="s">
        <v>19</v>
      </c>
      <c r="G16" s="4">
        <v>23725</v>
      </c>
      <c r="H16" s="4">
        <v>28470</v>
      </c>
      <c r="I16" s="7" t="str" cm="1">
        <f t="array" ref="I16">MSRPStatus(H16)</f>
        <v>Less than 30k</v>
      </c>
    </row>
    <row r="17" spans="1:9" x14ac:dyDescent="0.2">
      <c r="A17" s="1" t="s">
        <v>44</v>
      </c>
      <c r="B17" s="1">
        <v>2019</v>
      </c>
      <c r="C17" s="1" t="s">
        <v>1</v>
      </c>
      <c r="D17" s="1" t="s">
        <v>17</v>
      </c>
      <c r="E17" s="1" t="s">
        <v>18</v>
      </c>
      <c r="F17" s="1" t="s">
        <v>7</v>
      </c>
      <c r="G17" s="4">
        <v>18847</v>
      </c>
      <c r="H17" s="4">
        <v>22616</v>
      </c>
      <c r="I17" s="7" t="str" cm="1">
        <f t="array" ref="I17">MSRPStatus(H17)</f>
        <v>Less than 30k</v>
      </c>
    </row>
    <row r="18" spans="1:9" x14ac:dyDescent="0.2">
      <c r="A18" s="1" t="s">
        <v>45</v>
      </c>
      <c r="B18" s="1">
        <v>2019</v>
      </c>
      <c r="C18" s="1" t="s">
        <v>25</v>
      </c>
      <c r="D18" s="1" t="s">
        <v>46</v>
      </c>
      <c r="E18" s="1" t="s">
        <v>3</v>
      </c>
      <c r="F18" s="1" t="s">
        <v>47</v>
      </c>
      <c r="G18" s="4">
        <v>28439</v>
      </c>
      <c r="H18" s="4">
        <v>34127</v>
      </c>
      <c r="I18" s="7" t="str" cm="1">
        <f t="array" ref="I18">MSRPStatus(H18)</f>
        <v>Greater than or equal to 30k</v>
      </c>
    </row>
    <row r="19" spans="1:9" x14ac:dyDescent="0.2">
      <c r="A19" s="1" t="s">
        <v>48</v>
      </c>
      <c r="B19" s="1">
        <v>2019</v>
      </c>
      <c r="C19" s="1" t="s">
        <v>1</v>
      </c>
      <c r="D19" s="1" t="s">
        <v>29</v>
      </c>
      <c r="E19" s="1" t="s">
        <v>3</v>
      </c>
      <c r="F19" s="1" t="s">
        <v>19</v>
      </c>
      <c r="G19" s="4">
        <v>17936</v>
      </c>
      <c r="H19" s="4">
        <v>21523</v>
      </c>
      <c r="I19" s="7" t="str" cm="1">
        <f t="array" ref="I19">MSRPStatus(H19)</f>
        <v>Less than 30k</v>
      </c>
    </row>
    <row r="20" spans="1:9" x14ac:dyDescent="0.2">
      <c r="A20" s="1" t="s">
        <v>49</v>
      </c>
      <c r="B20" s="1">
        <v>2019</v>
      </c>
      <c r="C20" s="1" t="s">
        <v>25</v>
      </c>
      <c r="D20" s="1" t="s">
        <v>50</v>
      </c>
      <c r="E20" s="1" t="s">
        <v>3</v>
      </c>
      <c r="F20" s="1" t="s">
        <v>12</v>
      </c>
      <c r="G20" s="4">
        <v>26060</v>
      </c>
      <c r="H20" s="4">
        <v>31272</v>
      </c>
      <c r="I20" s="7" t="str" cm="1">
        <f t="array" ref="I20">MSRPStatus(H20)</f>
        <v>Greater than or equal to 30k</v>
      </c>
    </row>
    <row r="21" spans="1:9" x14ac:dyDescent="0.2">
      <c r="A21" s="1" t="s">
        <v>51</v>
      </c>
      <c r="B21" s="1">
        <v>2018</v>
      </c>
      <c r="C21" s="1" t="s">
        <v>1</v>
      </c>
      <c r="D21" s="1" t="s">
        <v>17</v>
      </c>
      <c r="E21" s="1" t="s">
        <v>18</v>
      </c>
      <c r="F21" s="1" t="s">
        <v>12</v>
      </c>
      <c r="G21" s="4">
        <v>18640</v>
      </c>
      <c r="H21" s="4">
        <v>20504</v>
      </c>
      <c r="I21" s="7" t="str" cm="1">
        <f t="array" ref="I21">MSRPStatus(H21)</f>
        <v>Less than 30k</v>
      </c>
    </row>
    <row r="22" spans="1:9" x14ac:dyDescent="0.2">
      <c r="A22" s="1" t="s">
        <v>52</v>
      </c>
      <c r="B22" s="1">
        <v>2019</v>
      </c>
      <c r="C22" s="1" t="s">
        <v>9</v>
      </c>
      <c r="D22" s="1" t="s">
        <v>53</v>
      </c>
      <c r="E22" s="1" t="s">
        <v>11</v>
      </c>
      <c r="F22" s="1" t="s">
        <v>32</v>
      </c>
      <c r="G22" s="4">
        <v>18962</v>
      </c>
      <c r="H22" s="4">
        <v>22754</v>
      </c>
      <c r="I22" s="7" t="str" cm="1">
        <f t="array" ref="I22">MSRPStatus(H22)</f>
        <v>Less than 30k</v>
      </c>
    </row>
    <row r="23" spans="1:9" x14ac:dyDescent="0.2">
      <c r="A23" s="1" t="s">
        <v>54</v>
      </c>
      <c r="B23" s="1">
        <v>2018</v>
      </c>
      <c r="C23" s="1" t="s">
        <v>36</v>
      </c>
      <c r="D23" s="1" t="s">
        <v>55</v>
      </c>
      <c r="E23" s="1" t="s">
        <v>11</v>
      </c>
      <c r="F23" s="1" t="s">
        <v>4</v>
      </c>
      <c r="G23" s="4">
        <v>12305</v>
      </c>
      <c r="H23" s="4">
        <v>13536</v>
      </c>
      <c r="I23" s="7" t="str" cm="1">
        <f t="array" ref="I23">MSRPStatus(H23)</f>
        <v>Less than 20k</v>
      </c>
    </row>
    <row r="24" spans="1:9" x14ac:dyDescent="0.2">
      <c r="A24" s="1" t="s">
        <v>56</v>
      </c>
      <c r="B24" s="1">
        <v>2019</v>
      </c>
      <c r="C24" s="1" t="s">
        <v>14</v>
      </c>
      <c r="D24" s="1" t="s">
        <v>34</v>
      </c>
      <c r="E24" s="1" t="s">
        <v>3</v>
      </c>
      <c r="F24" s="1" t="s">
        <v>27</v>
      </c>
      <c r="G24" s="4">
        <v>25085</v>
      </c>
      <c r="H24" s="4">
        <v>30102</v>
      </c>
      <c r="I24" s="7" t="str" cm="1">
        <f t="array" ref="I24">MSRPStatus(H24)</f>
        <v>Greater than or equal to 30k</v>
      </c>
    </row>
    <row r="25" spans="1:9" x14ac:dyDescent="0.2">
      <c r="A25" s="1" t="s">
        <v>57</v>
      </c>
      <c r="B25" s="1">
        <v>2018</v>
      </c>
      <c r="C25" s="1" t="s">
        <v>25</v>
      </c>
      <c r="D25" s="1" t="s">
        <v>58</v>
      </c>
      <c r="E25" s="1" t="s">
        <v>3</v>
      </c>
      <c r="F25" s="1" t="s">
        <v>19</v>
      </c>
      <c r="G25" s="4">
        <v>27635</v>
      </c>
      <c r="H25" s="4">
        <v>30399</v>
      </c>
      <c r="I25" s="7" t="str" cm="1">
        <f t="array" ref="I25">MSRPStatus(H25)</f>
        <v>Greater than or equal to 30k</v>
      </c>
    </row>
    <row r="26" spans="1:9" x14ac:dyDescent="0.2">
      <c r="A26" s="1" t="s">
        <v>59</v>
      </c>
      <c r="B26" s="1">
        <v>2018</v>
      </c>
      <c r="C26" s="1" t="s">
        <v>25</v>
      </c>
      <c r="D26" s="1" t="s">
        <v>26</v>
      </c>
      <c r="E26" s="1" t="s">
        <v>3</v>
      </c>
      <c r="F26" s="1" t="s">
        <v>7</v>
      </c>
      <c r="G26" s="4">
        <v>32078</v>
      </c>
      <c r="H26" s="4">
        <v>35286</v>
      </c>
      <c r="I26" s="7" t="str" cm="1">
        <f t="array" ref="I26">MSRPStatus(H26)</f>
        <v>Greater than or equal to 30k</v>
      </c>
    </row>
    <row r="27" spans="1:9" x14ac:dyDescent="0.2">
      <c r="A27" s="1" t="s">
        <v>60</v>
      </c>
      <c r="B27" s="1">
        <v>2019</v>
      </c>
      <c r="C27" s="1" t="s">
        <v>21</v>
      </c>
      <c r="D27" s="1" t="s">
        <v>22</v>
      </c>
      <c r="E27" s="1" t="s">
        <v>3</v>
      </c>
      <c r="F27" s="1" t="s">
        <v>32</v>
      </c>
      <c r="G27" s="4">
        <v>10693</v>
      </c>
      <c r="H27" s="4">
        <v>12832</v>
      </c>
      <c r="I27" s="7" t="str" cm="1">
        <f t="array" ref="I27">MSRPStatus(H27)</f>
        <v>Less than 20k</v>
      </c>
    </row>
    <row r="28" spans="1:9" x14ac:dyDescent="0.2">
      <c r="A28" s="1" t="s">
        <v>61</v>
      </c>
      <c r="B28" s="1">
        <v>2019</v>
      </c>
      <c r="C28" s="1" t="s">
        <v>1</v>
      </c>
      <c r="D28" s="1" t="s">
        <v>2</v>
      </c>
      <c r="E28" s="1" t="s">
        <v>3</v>
      </c>
      <c r="F28" s="1" t="s">
        <v>32</v>
      </c>
      <c r="G28" s="4">
        <v>20514</v>
      </c>
      <c r="H28" s="4">
        <v>24617</v>
      </c>
      <c r="I28" s="7" t="str" cm="1">
        <f t="array" ref="I28">MSRPStatus(H28)</f>
        <v>Less than 30k</v>
      </c>
    </row>
    <row r="29" spans="1:9" x14ac:dyDescent="0.2">
      <c r="A29" s="1" t="s">
        <v>62</v>
      </c>
      <c r="B29" s="1">
        <v>2018</v>
      </c>
      <c r="C29" s="1" t="s">
        <v>1</v>
      </c>
      <c r="D29" s="1" t="s">
        <v>63</v>
      </c>
      <c r="E29" s="1" t="s">
        <v>3</v>
      </c>
      <c r="F29" s="1" t="s">
        <v>12</v>
      </c>
      <c r="G29" s="4">
        <v>18412</v>
      </c>
      <c r="H29" s="4">
        <v>20253</v>
      </c>
      <c r="I29" s="7" t="str" cm="1">
        <f t="array" ref="I29">MSRPStatus(H29)</f>
        <v>Less than 30k</v>
      </c>
    </row>
    <row r="30" spans="1:9" x14ac:dyDescent="0.2">
      <c r="A30" s="1" t="s">
        <v>64</v>
      </c>
      <c r="B30" s="1">
        <v>2018</v>
      </c>
      <c r="C30" s="1" t="s">
        <v>1</v>
      </c>
      <c r="D30" s="1" t="s">
        <v>65</v>
      </c>
      <c r="E30" s="1" t="s">
        <v>3</v>
      </c>
      <c r="F30" s="1" t="s">
        <v>4</v>
      </c>
      <c r="G30" s="4">
        <v>18601</v>
      </c>
      <c r="H30" s="4">
        <v>20461</v>
      </c>
      <c r="I30" s="7" t="str" cm="1">
        <f t="array" ref="I30">MSRPStatus(H30)</f>
        <v>Less than 30k</v>
      </c>
    </row>
    <row r="31" spans="1:9" x14ac:dyDescent="0.2">
      <c r="A31" s="1" t="s">
        <v>66</v>
      </c>
      <c r="B31" s="1">
        <v>2019</v>
      </c>
      <c r="C31" s="1" t="s">
        <v>14</v>
      </c>
      <c r="D31" s="1" t="s">
        <v>67</v>
      </c>
      <c r="E31" s="1" t="s">
        <v>3</v>
      </c>
      <c r="F31" s="1" t="s">
        <v>12</v>
      </c>
      <c r="G31" s="4">
        <v>17837</v>
      </c>
      <c r="H31" s="4">
        <v>21404</v>
      </c>
      <c r="I31" s="7" t="str" cm="1">
        <f t="array" ref="I31">MSRPStatus(H31)</f>
        <v>Less than 30k</v>
      </c>
    </row>
    <row r="32" spans="1:9" x14ac:dyDescent="0.2">
      <c r="A32" s="1" t="s">
        <v>68</v>
      </c>
      <c r="B32" s="1">
        <v>2019</v>
      </c>
      <c r="C32" s="1" t="s">
        <v>9</v>
      </c>
      <c r="D32" s="1" t="s">
        <v>69</v>
      </c>
      <c r="E32" s="1" t="s">
        <v>38</v>
      </c>
      <c r="F32" s="1" t="s">
        <v>4</v>
      </c>
      <c r="G32" s="4">
        <v>19832</v>
      </c>
      <c r="H32" s="4">
        <v>23798</v>
      </c>
      <c r="I32" s="7" t="str" cm="1">
        <f t="array" ref="I32">MSRPStatus(H32)</f>
        <v>Less than 30k</v>
      </c>
    </row>
    <row r="33" spans="1:9" x14ac:dyDescent="0.2">
      <c r="A33" s="1" t="s">
        <v>70</v>
      </c>
      <c r="B33" s="1">
        <v>2018</v>
      </c>
      <c r="C33" s="1" t="s">
        <v>14</v>
      </c>
      <c r="D33" s="1" t="s">
        <v>71</v>
      </c>
      <c r="E33" s="1" t="s">
        <v>18</v>
      </c>
      <c r="F33" s="1" t="s">
        <v>27</v>
      </c>
      <c r="G33" s="4">
        <v>17024</v>
      </c>
      <c r="H33" s="4">
        <v>18726</v>
      </c>
      <c r="I33" s="7" t="str" cm="1">
        <f t="array" ref="I33">MSRPStatus(H33)</f>
        <v>Less than 20k</v>
      </c>
    </row>
    <row r="34" spans="1:9" x14ac:dyDescent="0.2">
      <c r="A34" s="1" t="s">
        <v>72</v>
      </c>
      <c r="B34" s="1">
        <v>2018</v>
      </c>
      <c r="C34" s="1" t="s">
        <v>21</v>
      </c>
      <c r="D34" s="1" t="s">
        <v>73</v>
      </c>
      <c r="E34" s="1" t="s">
        <v>3</v>
      </c>
      <c r="F34" s="1" t="s">
        <v>12</v>
      </c>
      <c r="G34" s="4">
        <v>14542</v>
      </c>
      <c r="H34" s="4">
        <v>15996</v>
      </c>
      <c r="I34" s="7" t="str" cm="1">
        <f t="array" ref="I34">MSRPStatus(H34)</f>
        <v>Less than 20k</v>
      </c>
    </row>
    <row r="35" spans="1:9" x14ac:dyDescent="0.2">
      <c r="A35" s="1" t="s">
        <v>74</v>
      </c>
      <c r="B35" s="1">
        <v>2018</v>
      </c>
      <c r="C35" s="1" t="s">
        <v>9</v>
      </c>
      <c r="D35" s="1" t="s">
        <v>75</v>
      </c>
      <c r="E35" s="1" t="s">
        <v>18</v>
      </c>
      <c r="F35" s="1" t="s">
        <v>7</v>
      </c>
      <c r="G35" s="4">
        <v>15738</v>
      </c>
      <c r="H35" s="4">
        <v>17312</v>
      </c>
      <c r="I35" s="7" t="str" cm="1">
        <f t="array" ref="I35">MSRPStatus(H35)</f>
        <v>Less than 20k</v>
      </c>
    </row>
    <row r="36" spans="1:9" x14ac:dyDescent="0.2">
      <c r="A36" s="1" t="s">
        <v>76</v>
      </c>
      <c r="B36" s="1">
        <v>2019</v>
      </c>
      <c r="C36" s="1" t="s">
        <v>1</v>
      </c>
      <c r="D36" s="1" t="s">
        <v>29</v>
      </c>
      <c r="E36" s="1" t="s">
        <v>3</v>
      </c>
      <c r="F36" s="1" t="s">
        <v>19</v>
      </c>
      <c r="G36" s="4">
        <v>18436</v>
      </c>
      <c r="H36" s="4">
        <v>22123</v>
      </c>
      <c r="I36" s="7" t="str" cm="1">
        <f t="array" ref="I36">MSRPStatus(H36)</f>
        <v>Less than 30k</v>
      </c>
    </row>
    <row r="37" spans="1:9" x14ac:dyDescent="0.2">
      <c r="A37" s="1" t="s">
        <v>77</v>
      </c>
      <c r="B37" s="1">
        <v>2019</v>
      </c>
      <c r="C37" s="1" t="s">
        <v>14</v>
      </c>
      <c r="D37" s="1" t="s">
        <v>78</v>
      </c>
      <c r="E37" s="1" t="s">
        <v>38</v>
      </c>
      <c r="F37" s="1" t="s">
        <v>7</v>
      </c>
      <c r="G37" s="4">
        <v>29294</v>
      </c>
      <c r="H37" s="4">
        <v>35153</v>
      </c>
      <c r="I37" s="7" t="str" cm="1">
        <f t="array" ref="I37">MSRPStatus(H37)</f>
        <v>Greater than or equal to 30k</v>
      </c>
    </row>
    <row r="38" spans="1:9" x14ac:dyDescent="0.2">
      <c r="A38" s="1" t="s">
        <v>79</v>
      </c>
      <c r="B38" s="1">
        <v>2018</v>
      </c>
      <c r="C38" s="1" t="s">
        <v>36</v>
      </c>
      <c r="D38" s="1" t="s">
        <v>80</v>
      </c>
      <c r="E38" s="1" t="s">
        <v>3</v>
      </c>
      <c r="F38" s="1" t="s">
        <v>4</v>
      </c>
      <c r="G38" s="4">
        <v>16164</v>
      </c>
      <c r="H38" s="4">
        <v>17780</v>
      </c>
      <c r="I38" s="7" t="str" cm="1">
        <f t="array" ref="I38">MSRPStatus(H38)</f>
        <v>Less than 20k</v>
      </c>
    </row>
    <row r="39" spans="1:9" x14ac:dyDescent="0.2">
      <c r="A39" s="1" t="s">
        <v>81</v>
      </c>
      <c r="B39" s="1">
        <v>2019</v>
      </c>
      <c r="C39" s="1" t="s">
        <v>14</v>
      </c>
      <c r="D39" s="1" t="s">
        <v>67</v>
      </c>
      <c r="E39" s="1" t="s">
        <v>3</v>
      </c>
      <c r="F39" s="1" t="s">
        <v>4</v>
      </c>
      <c r="G39" s="4">
        <v>15388</v>
      </c>
      <c r="H39" s="4">
        <v>18466</v>
      </c>
      <c r="I39" s="7" t="str" cm="1">
        <f t="array" ref="I39">MSRPStatus(H39)</f>
        <v>Less than 20k</v>
      </c>
    </row>
    <row r="40" spans="1:9" x14ac:dyDescent="0.2">
      <c r="A40" s="1" t="s">
        <v>82</v>
      </c>
      <c r="B40" s="1">
        <v>2019</v>
      </c>
      <c r="C40" s="1" t="s">
        <v>9</v>
      </c>
      <c r="D40" s="1" t="s">
        <v>83</v>
      </c>
      <c r="E40" s="1" t="s">
        <v>11</v>
      </c>
      <c r="F40" s="1" t="s">
        <v>7</v>
      </c>
      <c r="G40" s="4">
        <v>15626</v>
      </c>
      <c r="H40" s="4">
        <v>18751</v>
      </c>
      <c r="I40" s="7" t="str" cm="1">
        <f t="array" ref="I40">MSRPStatus(H40)</f>
        <v>Less than 20k</v>
      </c>
    </row>
    <row r="41" spans="1:9" x14ac:dyDescent="0.2">
      <c r="A41" s="1" t="s">
        <v>84</v>
      </c>
      <c r="B41" s="1">
        <v>2018</v>
      </c>
      <c r="C41" s="1" t="s">
        <v>36</v>
      </c>
      <c r="D41" s="1" t="s">
        <v>85</v>
      </c>
      <c r="E41" s="1" t="s">
        <v>11</v>
      </c>
      <c r="F41" s="1" t="s">
        <v>19</v>
      </c>
      <c r="G41" s="4">
        <v>12825</v>
      </c>
      <c r="H41" s="4">
        <v>14108</v>
      </c>
      <c r="I41" s="7" t="str" cm="1">
        <f t="array" ref="I41">MSRPStatus(H41)</f>
        <v>Less than 20k</v>
      </c>
    </row>
    <row r="42" spans="1:9" x14ac:dyDescent="0.2">
      <c r="A42" s="1" t="s">
        <v>86</v>
      </c>
      <c r="B42" s="1">
        <v>2018</v>
      </c>
      <c r="C42" s="1" t="s">
        <v>21</v>
      </c>
      <c r="D42" s="1" t="s">
        <v>87</v>
      </c>
      <c r="E42" s="1" t="s">
        <v>3</v>
      </c>
      <c r="F42" s="1" t="s">
        <v>7</v>
      </c>
      <c r="G42" s="4">
        <v>11471</v>
      </c>
      <c r="H42" s="4">
        <v>12618</v>
      </c>
      <c r="I42" s="7" t="str" cm="1">
        <f t="array" ref="I42">MSRPStatus(H42)</f>
        <v>Less than 20k</v>
      </c>
    </row>
    <row r="43" spans="1:9" x14ac:dyDescent="0.2">
      <c r="A43" s="1" t="s">
        <v>88</v>
      </c>
      <c r="B43" s="1">
        <v>2019</v>
      </c>
      <c r="C43" s="1" t="s">
        <v>36</v>
      </c>
      <c r="D43" s="1" t="s">
        <v>89</v>
      </c>
      <c r="E43" s="1" t="s">
        <v>11</v>
      </c>
      <c r="F43" s="1" t="s">
        <v>4</v>
      </c>
      <c r="G43" s="4">
        <v>10081</v>
      </c>
      <c r="H43" s="4">
        <v>12097</v>
      </c>
      <c r="I43" s="7" t="str" cm="1">
        <f t="array" ref="I43">MSRPStatus(H43)</f>
        <v>Less than 20k</v>
      </c>
    </row>
    <row r="44" spans="1:9" x14ac:dyDescent="0.2">
      <c r="A44" s="1" t="s">
        <v>90</v>
      </c>
      <c r="B44" s="1">
        <v>2018</v>
      </c>
      <c r="C44" s="1" t="s">
        <v>21</v>
      </c>
      <c r="D44" s="1" t="s">
        <v>87</v>
      </c>
      <c r="E44" s="1" t="s">
        <v>3</v>
      </c>
      <c r="F44" s="1" t="s">
        <v>7</v>
      </c>
      <c r="G44" s="4">
        <v>15699</v>
      </c>
      <c r="H44" s="4">
        <v>17269</v>
      </c>
      <c r="I44" s="7" t="str" cm="1">
        <f t="array" ref="I44">MSRPStatus(H44)</f>
        <v>Less than 20k</v>
      </c>
    </row>
    <row r="45" spans="1:9" x14ac:dyDescent="0.2">
      <c r="A45" s="1" t="s">
        <v>91</v>
      </c>
      <c r="B45" s="1">
        <v>2019</v>
      </c>
      <c r="C45" s="1" t="s">
        <v>36</v>
      </c>
      <c r="D45" s="1" t="s">
        <v>89</v>
      </c>
      <c r="E45" s="1" t="s">
        <v>11</v>
      </c>
      <c r="F45" s="1" t="s">
        <v>19</v>
      </c>
      <c r="G45" s="4">
        <v>10653</v>
      </c>
      <c r="H45" s="4">
        <v>12784</v>
      </c>
      <c r="I45" s="7" t="str" cm="1">
        <f t="array" ref="I45">MSRPStatus(H45)</f>
        <v>Less than 20k</v>
      </c>
    </row>
    <row r="46" spans="1:9" x14ac:dyDescent="0.2">
      <c r="A46" s="1" t="s">
        <v>92</v>
      </c>
      <c r="B46" s="1">
        <v>2018</v>
      </c>
      <c r="C46" s="1" t="s">
        <v>21</v>
      </c>
      <c r="D46" s="1" t="s">
        <v>73</v>
      </c>
      <c r="E46" s="1" t="s">
        <v>3</v>
      </c>
      <c r="F46" s="1" t="s">
        <v>19</v>
      </c>
      <c r="G46" s="4">
        <v>12828</v>
      </c>
      <c r="H46" s="4">
        <v>14111</v>
      </c>
      <c r="I46" s="7" t="str" cm="1">
        <f t="array" ref="I46">MSRPStatus(H46)</f>
        <v>Less than 20k</v>
      </c>
    </row>
    <row r="47" spans="1:9" x14ac:dyDescent="0.2">
      <c r="A47" s="1" t="s">
        <v>93</v>
      </c>
      <c r="B47" s="1">
        <v>2018</v>
      </c>
      <c r="C47" s="1" t="s">
        <v>25</v>
      </c>
      <c r="D47" s="1" t="s">
        <v>26</v>
      </c>
      <c r="E47" s="1" t="s">
        <v>3</v>
      </c>
      <c r="F47" s="1" t="s">
        <v>19</v>
      </c>
      <c r="G47" s="4">
        <v>24103</v>
      </c>
      <c r="H47" s="4">
        <v>26513</v>
      </c>
      <c r="I47" s="7" t="str" cm="1">
        <f t="array" ref="I47">MSRPStatus(H47)</f>
        <v>Less than 30k</v>
      </c>
    </row>
    <row r="48" spans="1:9" x14ac:dyDescent="0.2">
      <c r="A48" s="1" t="s">
        <v>94</v>
      </c>
      <c r="B48" s="1">
        <v>2018</v>
      </c>
      <c r="C48" s="1" t="s">
        <v>25</v>
      </c>
      <c r="D48" s="1" t="s">
        <v>95</v>
      </c>
      <c r="E48" s="1" t="s">
        <v>38</v>
      </c>
      <c r="F48" s="1" t="s">
        <v>27</v>
      </c>
      <c r="G48" s="4">
        <v>26578</v>
      </c>
      <c r="H48" s="4">
        <v>29236</v>
      </c>
      <c r="I48" s="7" t="str" cm="1">
        <f t="array" ref="I48">MSRPStatus(H48)</f>
        <v>Less than 30k</v>
      </c>
    </row>
    <row r="49" spans="1:9" x14ac:dyDescent="0.2">
      <c r="A49" s="1" t="s">
        <v>96</v>
      </c>
      <c r="B49" s="1">
        <v>2018</v>
      </c>
      <c r="C49" s="1" t="s">
        <v>1</v>
      </c>
      <c r="D49" s="1" t="s">
        <v>31</v>
      </c>
      <c r="E49" s="1" t="s">
        <v>18</v>
      </c>
      <c r="F49" s="1" t="s">
        <v>32</v>
      </c>
      <c r="G49" s="4">
        <v>19256</v>
      </c>
      <c r="H49" s="4">
        <v>21182</v>
      </c>
      <c r="I49" s="7" t="str" cm="1">
        <f t="array" ref="I49">MSRPStatus(H49)</f>
        <v>Less than 30k</v>
      </c>
    </row>
    <row r="50" spans="1:9" x14ac:dyDescent="0.2">
      <c r="A50" s="1" t="s">
        <v>97</v>
      </c>
      <c r="B50" s="1">
        <v>2018</v>
      </c>
      <c r="C50" s="1" t="s">
        <v>36</v>
      </c>
      <c r="D50" s="1" t="s">
        <v>98</v>
      </c>
      <c r="E50" s="1" t="s">
        <v>3</v>
      </c>
      <c r="F50" s="1" t="s">
        <v>4</v>
      </c>
      <c r="G50" s="4">
        <v>34702</v>
      </c>
      <c r="H50" s="4">
        <v>38172</v>
      </c>
      <c r="I50" s="7" t="str" cm="1">
        <f t="array" ref="I50">MSRPStatus(H50)</f>
        <v>Greater than or equal to 30k</v>
      </c>
    </row>
    <row r="51" spans="1:9" x14ac:dyDescent="0.2">
      <c r="A51" s="1" t="s">
        <v>99</v>
      </c>
      <c r="B51" s="1">
        <v>2018</v>
      </c>
      <c r="C51" s="1" t="s">
        <v>14</v>
      </c>
      <c r="D51" s="1" t="s">
        <v>15</v>
      </c>
      <c r="E51" s="1" t="s">
        <v>3</v>
      </c>
      <c r="F51" s="1" t="s">
        <v>47</v>
      </c>
      <c r="G51" s="4">
        <v>15637</v>
      </c>
      <c r="H51" s="4">
        <v>17201</v>
      </c>
      <c r="I51" s="7" t="str" cm="1">
        <f t="array" ref="I51">MSRPStatus(H51)</f>
        <v>Less than 20k</v>
      </c>
    </row>
    <row r="52" spans="1:9" x14ac:dyDescent="0.2">
      <c r="A52" s="1" t="s">
        <v>100</v>
      </c>
      <c r="B52" s="1">
        <v>2019</v>
      </c>
      <c r="C52" s="1" t="s">
        <v>25</v>
      </c>
      <c r="D52" s="1" t="s">
        <v>58</v>
      </c>
      <c r="E52" s="1" t="s">
        <v>3</v>
      </c>
      <c r="F52" s="1" t="s">
        <v>4</v>
      </c>
      <c r="G52" s="4">
        <v>25104</v>
      </c>
      <c r="H52" s="4">
        <v>30125</v>
      </c>
      <c r="I52" s="7" t="str" cm="1">
        <f t="array" ref="I52">MSRPStatus(H52)</f>
        <v>Greater than or equal to 30k</v>
      </c>
    </row>
    <row r="53" spans="1:9" x14ac:dyDescent="0.2">
      <c r="A53" s="1" t="s">
        <v>101</v>
      </c>
      <c r="B53" s="1">
        <v>2019</v>
      </c>
      <c r="C53" s="1" t="s">
        <v>36</v>
      </c>
      <c r="D53" s="1" t="s">
        <v>55</v>
      </c>
      <c r="E53" s="1" t="s">
        <v>11</v>
      </c>
      <c r="F53" s="1" t="s">
        <v>7</v>
      </c>
      <c r="G53" s="4">
        <v>10503</v>
      </c>
      <c r="H53" s="4">
        <v>12604</v>
      </c>
      <c r="I53" s="7" t="str" cm="1">
        <f t="array" ref="I53">MSRPStatus(H53)</f>
        <v>Less than 20k</v>
      </c>
    </row>
    <row r="54" spans="1:9" x14ac:dyDescent="0.2">
      <c r="A54" s="1" t="s">
        <v>102</v>
      </c>
      <c r="B54" s="1">
        <v>2019</v>
      </c>
      <c r="C54" s="1" t="s">
        <v>1</v>
      </c>
      <c r="D54" s="1" t="s">
        <v>2</v>
      </c>
      <c r="E54" s="1" t="s">
        <v>3</v>
      </c>
      <c r="F54" s="1" t="s">
        <v>27</v>
      </c>
      <c r="G54" s="4">
        <v>17688</v>
      </c>
      <c r="H54" s="4">
        <v>21226</v>
      </c>
      <c r="I54" s="7" t="str" cm="1">
        <f t="array" ref="I54">MSRPStatus(H54)</f>
        <v>Less than 30k</v>
      </c>
    </row>
    <row r="55" spans="1:9" x14ac:dyDescent="0.2">
      <c r="A55" s="1" t="s">
        <v>103</v>
      </c>
      <c r="B55" s="1">
        <v>2018</v>
      </c>
      <c r="C55" s="1" t="s">
        <v>25</v>
      </c>
      <c r="D55" s="1" t="s">
        <v>95</v>
      </c>
      <c r="E55" s="1" t="s">
        <v>38</v>
      </c>
      <c r="F55" s="1" t="s">
        <v>27</v>
      </c>
      <c r="G55" s="4">
        <v>29082</v>
      </c>
      <c r="H55" s="4">
        <v>31990</v>
      </c>
      <c r="I55" s="7" t="str" cm="1">
        <f t="array" ref="I55">MSRPStatus(H55)</f>
        <v>Greater than or equal to 30k</v>
      </c>
    </row>
    <row r="56" spans="1:9" x14ac:dyDescent="0.2">
      <c r="A56" s="1" t="s">
        <v>104</v>
      </c>
      <c r="B56" s="1">
        <v>2019</v>
      </c>
      <c r="C56" s="1" t="s">
        <v>21</v>
      </c>
      <c r="D56" s="1" t="s">
        <v>105</v>
      </c>
      <c r="E56" s="1" t="s">
        <v>3</v>
      </c>
      <c r="F56" s="1" t="s">
        <v>32</v>
      </c>
      <c r="G56" s="4">
        <v>12996</v>
      </c>
      <c r="H56" s="4">
        <v>15595</v>
      </c>
      <c r="I56" s="7" t="str" cm="1">
        <f t="array" ref="I56">MSRPStatus(H56)</f>
        <v>Less than 20k</v>
      </c>
    </row>
    <row r="57" spans="1:9" x14ac:dyDescent="0.2">
      <c r="A57" s="1" t="s">
        <v>106</v>
      </c>
      <c r="B57" s="1">
        <v>2018</v>
      </c>
      <c r="C57" s="1" t="s">
        <v>9</v>
      </c>
      <c r="D57" s="1" t="s">
        <v>53</v>
      </c>
      <c r="E57" s="1" t="s">
        <v>11</v>
      </c>
      <c r="F57" s="1" t="s">
        <v>19</v>
      </c>
      <c r="G57" s="4">
        <v>14701</v>
      </c>
      <c r="H57" s="4">
        <v>16171</v>
      </c>
      <c r="I57" s="7" t="str" cm="1">
        <f t="array" ref="I57">MSRPStatus(H57)</f>
        <v>Less than 20k</v>
      </c>
    </row>
    <row r="58" spans="1:9" x14ac:dyDescent="0.2">
      <c r="A58" s="1" t="s">
        <v>107</v>
      </c>
      <c r="B58" s="1">
        <v>2018</v>
      </c>
      <c r="C58" s="1" t="s">
        <v>36</v>
      </c>
      <c r="D58" s="1" t="s">
        <v>55</v>
      </c>
      <c r="E58" s="1" t="s">
        <v>11</v>
      </c>
      <c r="F58" s="1" t="s">
        <v>12</v>
      </c>
      <c r="G58" s="4">
        <v>9236</v>
      </c>
      <c r="H58" s="4">
        <v>10160</v>
      </c>
      <c r="I58" s="7" t="str" cm="1">
        <f t="array" ref="I58">MSRPStatus(H58)</f>
        <v>Less than 20k</v>
      </c>
    </row>
    <row r="59" spans="1:9" x14ac:dyDescent="0.2">
      <c r="A59" s="1" t="s">
        <v>108</v>
      </c>
      <c r="B59" s="1">
        <v>2018</v>
      </c>
      <c r="C59" s="1" t="s">
        <v>14</v>
      </c>
      <c r="D59" s="1" t="s">
        <v>43</v>
      </c>
      <c r="E59" s="1" t="s">
        <v>3</v>
      </c>
      <c r="F59" s="1" t="s">
        <v>7</v>
      </c>
      <c r="G59" s="4">
        <v>23590</v>
      </c>
      <c r="H59" s="4">
        <v>25949</v>
      </c>
      <c r="I59" s="7" t="str" cm="1">
        <f t="array" ref="I59">MSRPStatus(H59)</f>
        <v>Less than 30k</v>
      </c>
    </row>
    <row r="60" spans="1:9" x14ac:dyDescent="0.2">
      <c r="A60" s="1" t="s">
        <v>109</v>
      </c>
      <c r="B60" s="1">
        <v>2018</v>
      </c>
      <c r="C60" s="1" t="s">
        <v>21</v>
      </c>
      <c r="D60" s="1" t="s">
        <v>73</v>
      </c>
      <c r="E60" s="1" t="s">
        <v>3</v>
      </c>
      <c r="F60" s="1" t="s">
        <v>4</v>
      </c>
      <c r="G60" s="4">
        <v>14749</v>
      </c>
      <c r="H60" s="4">
        <v>16224</v>
      </c>
      <c r="I60" s="7" t="str" cm="1">
        <f t="array" ref="I60">MSRPStatus(H60)</f>
        <v>Less than 20k</v>
      </c>
    </row>
    <row r="61" spans="1:9" x14ac:dyDescent="0.2">
      <c r="A61" s="1" t="s">
        <v>110</v>
      </c>
      <c r="B61" s="1">
        <v>2018</v>
      </c>
      <c r="C61" s="1" t="s">
        <v>36</v>
      </c>
      <c r="D61" s="1" t="s">
        <v>111</v>
      </c>
      <c r="E61" s="1" t="s">
        <v>3</v>
      </c>
      <c r="F61" s="1" t="s">
        <v>47</v>
      </c>
      <c r="G61" s="4">
        <v>11087</v>
      </c>
      <c r="H61" s="4">
        <v>12196</v>
      </c>
      <c r="I61" s="7" t="str" cm="1">
        <f t="array" ref="I61">MSRPStatus(H61)</f>
        <v>Less than 20k</v>
      </c>
    </row>
    <row r="62" spans="1:9" x14ac:dyDescent="0.2">
      <c r="A62" s="1" t="s">
        <v>112</v>
      </c>
      <c r="B62" s="1">
        <v>2019</v>
      </c>
      <c r="C62" s="1" t="s">
        <v>21</v>
      </c>
      <c r="D62" s="1" t="s">
        <v>87</v>
      </c>
      <c r="E62" s="1" t="s">
        <v>3</v>
      </c>
      <c r="F62" s="1" t="s">
        <v>32</v>
      </c>
      <c r="G62" s="4">
        <v>10242</v>
      </c>
      <c r="H62" s="4">
        <v>12290</v>
      </c>
      <c r="I62" s="7" t="str" cm="1">
        <f t="array" ref="I62">MSRPStatus(H62)</f>
        <v>Less than 20k</v>
      </c>
    </row>
    <row r="63" spans="1:9" x14ac:dyDescent="0.2">
      <c r="A63" s="1" t="s">
        <v>113</v>
      </c>
      <c r="B63" s="1">
        <v>2018</v>
      </c>
      <c r="C63" s="1" t="s">
        <v>25</v>
      </c>
      <c r="D63" s="1" t="s">
        <v>50</v>
      </c>
      <c r="E63" s="1" t="s">
        <v>3</v>
      </c>
      <c r="F63" s="1" t="s">
        <v>32</v>
      </c>
      <c r="G63" s="4">
        <v>24741</v>
      </c>
      <c r="H63" s="4">
        <v>27215</v>
      </c>
      <c r="I63" s="7" t="str" cm="1">
        <f t="array" ref="I63">MSRPStatus(H63)</f>
        <v>Less than 30k</v>
      </c>
    </row>
    <row r="64" spans="1:9" x14ac:dyDescent="0.2">
      <c r="A64" s="1" t="s">
        <v>114</v>
      </c>
      <c r="B64" s="1">
        <v>2018</v>
      </c>
      <c r="C64" s="1" t="s">
        <v>1</v>
      </c>
      <c r="D64" s="1" t="s">
        <v>2</v>
      </c>
      <c r="E64" s="1" t="s">
        <v>3</v>
      </c>
      <c r="F64" s="1" t="s">
        <v>32</v>
      </c>
      <c r="G64" s="4">
        <v>20326</v>
      </c>
      <c r="H64" s="4">
        <v>22359</v>
      </c>
      <c r="I64" s="7" t="str" cm="1">
        <f t="array" ref="I64">MSRPStatus(H64)</f>
        <v>Less than 30k</v>
      </c>
    </row>
    <row r="65" spans="1:9" x14ac:dyDescent="0.2">
      <c r="A65" s="1" t="s">
        <v>115</v>
      </c>
      <c r="B65" s="1">
        <v>2019</v>
      </c>
      <c r="C65" s="1" t="s">
        <v>25</v>
      </c>
      <c r="D65" s="1" t="s">
        <v>26</v>
      </c>
      <c r="E65" s="1" t="s">
        <v>3</v>
      </c>
      <c r="F65" s="1" t="s">
        <v>47</v>
      </c>
      <c r="G65" s="4">
        <v>26195</v>
      </c>
      <c r="H65" s="4">
        <v>31434</v>
      </c>
      <c r="I65" s="7" t="str" cm="1">
        <f t="array" ref="I65">MSRPStatus(H65)</f>
        <v>Greater than or equal to 30k</v>
      </c>
    </row>
    <row r="66" spans="1:9" x14ac:dyDescent="0.2">
      <c r="A66" s="1" t="s">
        <v>116</v>
      </c>
      <c r="B66" s="1">
        <v>2018</v>
      </c>
      <c r="C66" s="1" t="s">
        <v>9</v>
      </c>
      <c r="D66" s="1" t="s">
        <v>83</v>
      </c>
      <c r="E66" s="1" t="s">
        <v>11</v>
      </c>
      <c r="F66" s="1" t="s">
        <v>27</v>
      </c>
      <c r="G66" s="4">
        <v>17553</v>
      </c>
      <c r="H66" s="4">
        <v>19308</v>
      </c>
      <c r="I66" s="7" t="str" cm="1">
        <f t="array" ref="I66">MSRPStatus(H66)</f>
        <v>Less than 20k</v>
      </c>
    </row>
    <row r="67" spans="1:9" x14ac:dyDescent="0.2">
      <c r="A67" s="1" t="s">
        <v>117</v>
      </c>
      <c r="B67" s="1">
        <v>2019</v>
      </c>
      <c r="C67" s="1" t="s">
        <v>1</v>
      </c>
      <c r="D67" s="1" t="s">
        <v>31</v>
      </c>
      <c r="E67" s="1" t="s">
        <v>18</v>
      </c>
      <c r="F67" s="1" t="s">
        <v>32</v>
      </c>
      <c r="G67" s="4">
        <v>17817</v>
      </c>
      <c r="H67" s="4">
        <v>21380</v>
      </c>
      <c r="I67" s="7" t="str" cm="1">
        <f t="array" ref="I67">MSRPStatus(H67)</f>
        <v>Less than 30k</v>
      </c>
    </row>
    <row r="68" spans="1:9" x14ac:dyDescent="0.2">
      <c r="A68" s="1" t="s">
        <v>118</v>
      </c>
      <c r="B68" s="1">
        <v>2018</v>
      </c>
      <c r="C68" s="1" t="s">
        <v>21</v>
      </c>
      <c r="D68" s="1" t="s">
        <v>22</v>
      </c>
      <c r="E68" s="1" t="s">
        <v>3</v>
      </c>
      <c r="F68" s="1" t="s">
        <v>27</v>
      </c>
      <c r="G68" s="4">
        <v>11123</v>
      </c>
      <c r="H68" s="4">
        <v>12235</v>
      </c>
      <c r="I68" s="7" t="str" cm="1">
        <f t="array" ref="I68">MSRPStatus(H68)</f>
        <v>Less than 20k</v>
      </c>
    </row>
    <row r="69" spans="1:9" x14ac:dyDescent="0.2">
      <c r="A69" s="1" t="s">
        <v>119</v>
      </c>
      <c r="B69" s="1">
        <v>2018</v>
      </c>
      <c r="C69" s="1" t="s">
        <v>1</v>
      </c>
      <c r="D69" s="1" t="s">
        <v>29</v>
      </c>
      <c r="E69" s="1" t="s">
        <v>3</v>
      </c>
      <c r="F69" s="1" t="s">
        <v>27</v>
      </c>
      <c r="G69" s="4">
        <v>19887</v>
      </c>
      <c r="H69" s="4">
        <v>21876</v>
      </c>
      <c r="I69" s="7" t="str" cm="1">
        <f t="array" ref="I69">MSRPStatus(H69)</f>
        <v>Less than 30k</v>
      </c>
    </row>
    <row r="70" spans="1:9" x14ac:dyDescent="0.2">
      <c r="A70" s="1" t="s">
        <v>120</v>
      </c>
      <c r="B70" s="1">
        <v>2019</v>
      </c>
      <c r="C70" s="1" t="s">
        <v>21</v>
      </c>
      <c r="D70" s="1" t="s">
        <v>105</v>
      </c>
      <c r="E70" s="1" t="s">
        <v>3</v>
      </c>
      <c r="F70" s="1" t="s">
        <v>4</v>
      </c>
      <c r="G70" s="4">
        <v>12620</v>
      </c>
      <c r="H70" s="4">
        <v>15144</v>
      </c>
      <c r="I70" s="7" t="str" cm="1">
        <f t="array" ref="I70">MSRPStatus(H70)</f>
        <v>Less than 20k</v>
      </c>
    </row>
    <row r="71" spans="1:9" x14ac:dyDescent="0.2">
      <c r="A71" s="1" t="s">
        <v>121</v>
      </c>
      <c r="B71" s="1">
        <v>2018</v>
      </c>
      <c r="C71" s="1" t="s">
        <v>25</v>
      </c>
      <c r="D71" s="1" t="s">
        <v>58</v>
      </c>
      <c r="E71" s="1" t="s">
        <v>3</v>
      </c>
      <c r="F71" s="1" t="s">
        <v>4</v>
      </c>
      <c r="G71" s="4">
        <v>27066</v>
      </c>
      <c r="H71" s="4">
        <v>29773</v>
      </c>
      <c r="I71" s="7" t="str" cm="1">
        <f t="array" ref="I71">MSRPStatus(H71)</f>
        <v>Less than 30k</v>
      </c>
    </row>
    <row r="72" spans="1:9" x14ac:dyDescent="0.2">
      <c r="A72" s="1" t="s">
        <v>122</v>
      </c>
      <c r="B72" s="1">
        <v>2019</v>
      </c>
      <c r="C72" s="1" t="s">
        <v>1</v>
      </c>
      <c r="D72" s="1" t="s">
        <v>63</v>
      </c>
      <c r="E72" s="1" t="s">
        <v>3</v>
      </c>
      <c r="F72" s="1" t="s">
        <v>32</v>
      </c>
      <c r="G72" s="4">
        <v>19587</v>
      </c>
      <c r="H72" s="4">
        <v>23504</v>
      </c>
      <c r="I72" s="7" t="str" cm="1">
        <f t="array" ref="I72">MSRPStatus(H72)</f>
        <v>Less than 30k</v>
      </c>
    </row>
    <row r="73" spans="1:9" x14ac:dyDescent="0.2">
      <c r="A73" s="1" t="s">
        <v>123</v>
      </c>
      <c r="B73" s="1">
        <v>2018</v>
      </c>
      <c r="C73" s="1" t="s">
        <v>21</v>
      </c>
      <c r="D73" s="1" t="s">
        <v>73</v>
      </c>
      <c r="E73" s="1" t="s">
        <v>3</v>
      </c>
      <c r="F73" s="1" t="s">
        <v>47</v>
      </c>
      <c r="G73" s="4">
        <v>13324</v>
      </c>
      <c r="H73" s="4">
        <v>14656</v>
      </c>
      <c r="I73" s="7" t="str" cm="1">
        <f t="array" ref="I73">MSRPStatus(H73)</f>
        <v>Less than 20k</v>
      </c>
    </row>
    <row r="74" spans="1:9" x14ac:dyDescent="0.2">
      <c r="A74" s="1" t="s">
        <v>124</v>
      </c>
      <c r="B74" s="1">
        <v>2018</v>
      </c>
      <c r="C74" s="1" t="s">
        <v>9</v>
      </c>
      <c r="D74" s="1" t="s">
        <v>83</v>
      </c>
      <c r="E74" s="1" t="s">
        <v>11</v>
      </c>
      <c r="F74" s="1" t="s">
        <v>7</v>
      </c>
      <c r="G74" s="4">
        <v>17123</v>
      </c>
      <c r="H74" s="4">
        <v>18835</v>
      </c>
      <c r="I74" s="7" t="str" cm="1">
        <f t="array" ref="I74">MSRPStatus(H74)</f>
        <v>Less than 20k</v>
      </c>
    </row>
    <row r="75" spans="1:9" x14ac:dyDescent="0.2">
      <c r="A75" s="1" t="s">
        <v>125</v>
      </c>
      <c r="B75" s="1">
        <v>2019</v>
      </c>
      <c r="C75" s="1" t="s">
        <v>14</v>
      </c>
      <c r="D75" s="1" t="s">
        <v>43</v>
      </c>
      <c r="E75" s="1" t="s">
        <v>3</v>
      </c>
      <c r="F75" s="1" t="s">
        <v>4</v>
      </c>
      <c r="G75" s="4">
        <v>26832</v>
      </c>
      <c r="H75" s="4">
        <v>32198</v>
      </c>
      <c r="I75" s="7" t="str" cm="1">
        <f t="array" ref="I75">MSRPStatus(H75)</f>
        <v>Greater than or equal to 30k</v>
      </c>
    </row>
    <row r="76" spans="1:9" x14ac:dyDescent="0.2">
      <c r="A76" s="1" t="s">
        <v>126</v>
      </c>
      <c r="B76" s="1">
        <v>2019</v>
      </c>
      <c r="C76" s="1" t="s">
        <v>36</v>
      </c>
      <c r="D76" s="1" t="s">
        <v>127</v>
      </c>
      <c r="E76" s="1" t="s">
        <v>3</v>
      </c>
      <c r="F76" s="1" t="s">
        <v>27</v>
      </c>
      <c r="G76" s="4">
        <v>14188</v>
      </c>
      <c r="H76" s="4">
        <v>17026</v>
      </c>
      <c r="I76" s="7" t="str" cm="1">
        <f t="array" ref="I76">MSRPStatus(H76)</f>
        <v>Less than 20k</v>
      </c>
    </row>
    <row r="77" spans="1:9" x14ac:dyDescent="0.2">
      <c r="A77" s="1" t="s">
        <v>128</v>
      </c>
      <c r="B77" s="1">
        <v>2018</v>
      </c>
      <c r="C77" s="1" t="s">
        <v>14</v>
      </c>
      <c r="D77" s="1" t="s">
        <v>129</v>
      </c>
      <c r="E77" s="1" t="s">
        <v>3</v>
      </c>
      <c r="F77" s="1" t="s">
        <v>4</v>
      </c>
      <c r="G77" s="4">
        <v>22279</v>
      </c>
      <c r="H77" s="4">
        <v>24507</v>
      </c>
      <c r="I77" s="7" t="str" cm="1">
        <f t="array" ref="I77">MSRPStatus(H77)</f>
        <v>Less than 30k</v>
      </c>
    </row>
    <row r="78" spans="1:9" x14ac:dyDescent="0.2">
      <c r="A78" s="1" t="s">
        <v>130</v>
      </c>
      <c r="B78" s="1">
        <v>2018</v>
      </c>
      <c r="C78" s="1" t="s">
        <v>21</v>
      </c>
      <c r="D78" s="1" t="s">
        <v>105</v>
      </c>
      <c r="E78" s="1" t="s">
        <v>3</v>
      </c>
      <c r="F78" s="1" t="s">
        <v>7</v>
      </c>
      <c r="G78" s="4">
        <v>12812</v>
      </c>
      <c r="H78" s="4">
        <v>14093</v>
      </c>
      <c r="I78" s="7" t="str" cm="1">
        <f t="array" ref="I78">MSRPStatus(H78)</f>
        <v>Less than 20k</v>
      </c>
    </row>
    <row r="79" spans="1:9" x14ac:dyDescent="0.2">
      <c r="A79" s="1" t="s">
        <v>131</v>
      </c>
      <c r="B79" s="1">
        <v>2019</v>
      </c>
      <c r="C79" s="1" t="s">
        <v>36</v>
      </c>
      <c r="D79" s="1" t="s">
        <v>132</v>
      </c>
      <c r="E79" s="1" t="s">
        <v>38</v>
      </c>
      <c r="F79" s="1" t="s">
        <v>7</v>
      </c>
      <c r="G79" s="4">
        <v>23230</v>
      </c>
      <c r="H79" s="4">
        <v>27876</v>
      </c>
      <c r="I79" s="7" t="str" cm="1">
        <f t="array" ref="I79">MSRPStatus(H79)</f>
        <v>Less than 30k</v>
      </c>
    </row>
    <row r="80" spans="1:9" x14ac:dyDescent="0.2">
      <c r="A80" s="1" t="s">
        <v>133</v>
      </c>
      <c r="B80" s="1">
        <v>2019</v>
      </c>
      <c r="C80" s="1" t="s">
        <v>1</v>
      </c>
      <c r="D80" s="1" t="s">
        <v>29</v>
      </c>
      <c r="E80" s="1" t="s">
        <v>3</v>
      </c>
      <c r="F80" s="1" t="s">
        <v>47</v>
      </c>
      <c r="G80" s="4">
        <v>19886</v>
      </c>
      <c r="H80" s="4">
        <v>23863</v>
      </c>
      <c r="I80" s="7" t="str" cm="1">
        <f t="array" ref="I80">MSRPStatus(H80)</f>
        <v>Less than 30k</v>
      </c>
    </row>
    <row r="81" spans="1:9" x14ac:dyDescent="0.2">
      <c r="A81" s="1" t="s">
        <v>134</v>
      </c>
      <c r="B81" s="1">
        <v>2018</v>
      </c>
      <c r="C81" s="1" t="s">
        <v>25</v>
      </c>
      <c r="D81" s="1" t="s">
        <v>58</v>
      </c>
      <c r="E81" s="1" t="s">
        <v>3</v>
      </c>
      <c r="F81" s="1" t="s">
        <v>27</v>
      </c>
      <c r="G81" s="4">
        <v>30861</v>
      </c>
      <c r="H81" s="4">
        <v>33947</v>
      </c>
      <c r="I81" s="7" t="str" cm="1">
        <f t="array" ref="I81">MSRPStatus(H81)</f>
        <v>Greater than or equal to 30k</v>
      </c>
    </row>
    <row r="82" spans="1:9" x14ac:dyDescent="0.2">
      <c r="A82" s="1" t="s">
        <v>135</v>
      </c>
      <c r="B82" s="1">
        <v>2019</v>
      </c>
      <c r="C82" s="1" t="s">
        <v>21</v>
      </c>
      <c r="D82" s="1" t="s">
        <v>22</v>
      </c>
      <c r="E82" s="1" t="s">
        <v>3</v>
      </c>
      <c r="F82" s="1" t="s">
        <v>4</v>
      </c>
      <c r="G82" s="4">
        <v>11726</v>
      </c>
      <c r="H82" s="4">
        <v>14071</v>
      </c>
      <c r="I82" s="7" t="str" cm="1">
        <f t="array" ref="I82">MSRPStatus(H82)</f>
        <v>Less than 20k</v>
      </c>
    </row>
    <row r="83" spans="1:9" x14ac:dyDescent="0.2">
      <c r="A83" s="1" t="s">
        <v>136</v>
      </c>
      <c r="B83" s="1">
        <v>2019</v>
      </c>
      <c r="C83" s="1" t="s">
        <v>14</v>
      </c>
      <c r="D83" s="1" t="s">
        <v>67</v>
      </c>
      <c r="E83" s="1" t="s">
        <v>3</v>
      </c>
      <c r="F83" s="1" t="s">
        <v>19</v>
      </c>
      <c r="G83" s="4">
        <v>17925</v>
      </c>
      <c r="H83" s="4">
        <v>21510</v>
      </c>
      <c r="I83" s="7" t="str" cm="1">
        <f t="array" ref="I83">MSRPStatus(H83)</f>
        <v>Less than 30k</v>
      </c>
    </row>
    <row r="84" spans="1:9" x14ac:dyDescent="0.2">
      <c r="A84" s="1" t="s">
        <v>137</v>
      </c>
      <c r="B84" s="1">
        <v>2018</v>
      </c>
      <c r="C84" s="1" t="s">
        <v>9</v>
      </c>
      <c r="D84" s="1" t="s">
        <v>138</v>
      </c>
      <c r="E84" s="1" t="s">
        <v>38</v>
      </c>
      <c r="F84" s="1" t="s">
        <v>27</v>
      </c>
      <c r="G84" s="4">
        <v>24100</v>
      </c>
      <c r="H84" s="4">
        <v>26510</v>
      </c>
      <c r="I84" s="7" t="str" cm="1">
        <f t="array" ref="I84">MSRPStatus(H84)</f>
        <v>Less than 30k</v>
      </c>
    </row>
    <row r="85" spans="1:9" x14ac:dyDescent="0.2">
      <c r="A85" s="1" t="s">
        <v>139</v>
      </c>
      <c r="B85" s="1">
        <v>2019</v>
      </c>
      <c r="C85" s="1" t="s">
        <v>1</v>
      </c>
      <c r="D85" s="1" t="s">
        <v>29</v>
      </c>
      <c r="E85" s="1" t="s">
        <v>3</v>
      </c>
      <c r="F85" s="1" t="s">
        <v>7</v>
      </c>
      <c r="G85" s="4">
        <v>21016</v>
      </c>
      <c r="H85" s="4">
        <v>25219</v>
      </c>
      <c r="I85" s="7" t="str" cm="1">
        <f t="array" ref="I85">MSRPStatus(H85)</f>
        <v>Less than 30k</v>
      </c>
    </row>
    <row r="86" spans="1:9" x14ac:dyDescent="0.2">
      <c r="A86" s="1" t="s">
        <v>140</v>
      </c>
      <c r="B86" s="1">
        <v>2018</v>
      </c>
      <c r="C86" s="1" t="s">
        <v>9</v>
      </c>
      <c r="D86" s="1" t="s">
        <v>69</v>
      </c>
      <c r="E86" s="1" t="s">
        <v>38</v>
      </c>
      <c r="F86" s="1" t="s">
        <v>7</v>
      </c>
      <c r="G86" s="4">
        <v>22906</v>
      </c>
      <c r="H86" s="4">
        <v>25197</v>
      </c>
      <c r="I86" s="7" t="str" cm="1">
        <f t="array" ref="I86">MSRPStatus(H86)</f>
        <v>Less than 30k</v>
      </c>
    </row>
    <row r="87" spans="1:9" x14ac:dyDescent="0.2">
      <c r="A87" s="1" t="s">
        <v>141</v>
      </c>
      <c r="B87" s="1">
        <v>2019</v>
      </c>
      <c r="C87" s="1" t="s">
        <v>14</v>
      </c>
      <c r="D87" s="1" t="s">
        <v>142</v>
      </c>
      <c r="E87" s="1" t="s">
        <v>3</v>
      </c>
      <c r="F87" s="1" t="s">
        <v>12</v>
      </c>
      <c r="G87" s="4">
        <v>21328</v>
      </c>
      <c r="H87" s="4">
        <v>25594</v>
      </c>
      <c r="I87" s="7" t="str" cm="1">
        <f t="array" ref="I87">MSRPStatus(H87)</f>
        <v>Less than 30k</v>
      </c>
    </row>
    <row r="88" spans="1:9" x14ac:dyDescent="0.2">
      <c r="A88" s="1" t="s">
        <v>143</v>
      </c>
      <c r="B88" s="1">
        <v>2018</v>
      </c>
      <c r="C88" s="1" t="s">
        <v>25</v>
      </c>
      <c r="D88" s="1" t="s">
        <v>95</v>
      </c>
      <c r="E88" s="1" t="s">
        <v>38</v>
      </c>
      <c r="F88" s="1" t="s">
        <v>27</v>
      </c>
      <c r="G88" s="4">
        <v>24294</v>
      </c>
      <c r="H88" s="4">
        <v>26723</v>
      </c>
      <c r="I88" s="7" t="str" cm="1">
        <f t="array" ref="I88">MSRPStatus(H88)</f>
        <v>Less than 30k</v>
      </c>
    </row>
    <row r="89" spans="1:9" x14ac:dyDescent="0.2">
      <c r="A89" s="1" t="s">
        <v>144</v>
      </c>
      <c r="B89" s="1">
        <v>2019</v>
      </c>
      <c r="C89" s="1" t="s">
        <v>9</v>
      </c>
      <c r="D89" s="1" t="s">
        <v>83</v>
      </c>
      <c r="E89" s="1" t="s">
        <v>11</v>
      </c>
      <c r="F89" s="1" t="s">
        <v>4</v>
      </c>
      <c r="G89" s="4">
        <v>16557</v>
      </c>
      <c r="H89" s="4">
        <v>19868</v>
      </c>
      <c r="I89" s="7" t="str" cm="1">
        <f t="array" ref="I89">MSRPStatus(H89)</f>
        <v>Less than 20k</v>
      </c>
    </row>
    <row r="90" spans="1:9" x14ac:dyDescent="0.2">
      <c r="A90" s="1" t="s">
        <v>145</v>
      </c>
      <c r="B90" s="1">
        <v>2018</v>
      </c>
      <c r="C90" s="1" t="s">
        <v>14</v>
      </c>
      <c r="D90" s="1" t="s">
        <v>43</v>
      </c>
      <c r="E90" s="1" t="s">
        <v>3</v>
      </c>
      <c r="F90" s="1" t="s">
        <v>19</v>
      </c>
      <c r="G90" s="4">
        <v>25619</v>
      </c>
      <c r="H90" s="4">
        <v>28181</v>
      </c>
      <c r="I90" s="7" t="str" cm="1">
        <f t="array" ref="I90">MSRPStatus(H90)</f>
        <v>Less than 30k</v>
      </c>
    </row>
    <row r="91" spans="1:9" x14ac:dyDescent="0.2">
      <c r="A91" s="1" t="s">
        <v>146</v>
      </c>
      <c r="B91" s="1">
        <v>2018</v>
      </c>
      <c r="C91" s="1" t="s">
        <v>36</v>
      </c>
      <c r="D91" s="1" t="s">
        <v>132</v>
      </c>
      <c r="E91" s="1" t="s">
        <v>38</v>
      </c>
      <c r="F91" s="1" t="s">
        <v>19</v>
      </c>
      <c r="G91" s="4">
        <v>24089</v>
      </c>
      <c r="H91" s="4">
        <v>26498</v>
      </c>
      <c r="I91" s="7" t="str" cm="1">
        <f t="array" ref="I91">MSRPStatus(H91)</f>
        <v>Less than 30k</v>
      </c>
    </row>
    <row r="92" spans="1:9" x14ac:dyDescent="0.2">
      <c r="A92" s="1" t="s">
        <v>147</v>
      </c>
      <c r="B92" s="1">
        <v>2019</v>
      </c>
      <c r="C92" s="1" t="s">
        <v>1</v>
      </c>
      <c r="D92" s="1" t="s">
        <v>31</v>
      </c>
      <c r="E92" s="1" t="s">
        <v>18</v>
      </c>
      <c r="F92" s="1" t="s">
        <v>32</v>
      </c>
      <c r="G92" s="4">
        <v>17239</v>
      </c>
      <c r="H92" s="4">
        <v>20687</v>
      </c>
      <c r="I92" s="7" t="str" cm="1">
        <f t="array" ref="I92">MSRPStatus(H92)</f>
        <v>Less than 30k</v>
      </c>
    </row>
    <row r="93" spans="1:9" x14ac:dyDescent="0.2">
      <c r="A93" s="1" t="s">
        <v>148</v>
      </c>
      <c r="B93" s="1">
        <v>2018</v>
      </c>
      <c r="C93" s="1" t="s">
        <v>21</v>
      </c>
      <c r="D93" s="1" t="s">
        <v>73</v>
      </c>
      <c r="E93" s="1" t="s">
        <v>3</v>
      </c>
      <c r="F93" s="1" t="s">
        <v>4</v>
      </c>
      <c r="G93" s="4">
        <v>12820</v>
      </c>
      <c r="H93" s="4">
        <v>14102</v>
      </c>
      <c r="I93" s="7" t="str" cm="1">
        <f t="array" ref="I93">MSRPStatus(H93)</f>
        <v>Less than 20k</v>
      </c>
    </row>
    <row r="94" spans="1:9" x14ac:dyDescent="0.2">
      <c r="A94" s="1" t="s">
        <v>149</v>
      </c>
      <c r="B94" s="1">
        <v>2019</v>
      </c>
      <c r="C94" s="1" t="s">
        <v>36</v>
      </c>
      <c r="D94" s="1" t="s">
        <v>150</v>
      </c>
      <c r="E94" s="1" t="s">
        <v>18</v>
      </c>
      <c r="F94" s="1" t="s">
        <v>32</v>
      </c>
      <c r="G94" s="4">
        <v>18078</v>
      </c>
      <c r="H94" s="4">
        <v>21694</v>
      </c>
      <c r="I94" s="7" t="str" cm="1">
        <f t="array" ref="I94">MSRPStatus(H94)</f>
        <v>Less than 30k</v>
      </c>
    </row>
    <row r="95" spans="1:9" x14ac:dyDescent="0.2">
      <c r="A95" s="1" t="s">
        <v>151</v>
      </c>
      <c r="B95" s="1">
        <v>2018</v>
      </c>
      <c r="C95" s="1" t="s">
        <v>21</v>
      </c>
      <c r="D95" s="1" t="s">
        <v>152</v>
      </c>
      <c r="E95" s="1" t="s">
        <v>3</v>
      </c>
      <c r="F95" s="1" t="s">
        <v>7</v>
      </c>
      <c r="G95" s="4">
        <v>13567</v>
      </c>
      <c r="H95" s="4">
        <v>14924</v>
      </c>
      <c r="I95" s="7" t="str" cm="1">
        <f t="array" ref="I95">MSRPStatus(H95)</f>
        <v>Less than 20k</v>
      </c>
    </row>
    <row r="96" spans="1:9" x14ac:dyDescent="0.2">
      <c r="A96" s="1" t="s">
        <v>153</v>
      </c>
      <c r="B96" s="1">
        <v>2018</v>
      </c>
      <c r="C96" s="1" t="s">
        <v>21</v>
      </c>
      <c r="D96" s="1" t="s">
        <v>73</v>
      </c>
      <c r="E96" s="1" t="s">
        <v>3</v>
      </c>
      <c r="F96" s="1" t="s">
        <v>4</v>
      </c>
      <c r="G96" s="4">
        <v>10253</v>
      </c>
      <c r="H96" s="4">
        <v>11278</v>
      </c>
      <c r="I96" s="7" t="str" cm="1">
        <f t="array" ref="I96">MSRPStatus(H96)</f>
        <v>Less than 20k</v>
      </c>
    </row>
    <row r="97" spans="1:9" x14ac:dyDescent="0.2">
      <c r="A97" s="1" t="s">
        <v>154</v>
      </c>
      <c r="B97" s="1">
        <v>2018</v>
      </c>
      <c r="C97" s="1" t="s">
        <v>14</v>
      </c>
      <c r="D97" s="1" t="s">
        <v>78</v>
      </c>
      <c r="E97" s="1" t="s">
        <v>38</v>
      </c>
      <c r="F97" s="1" t="s">
        <v>12</v>
      </c>
      <c r="G97" s="4">
        <v>29317</v>
      </c>
      <c r="H97" s="4">
        <v>32249</v>
      </c>
      <c r="I97" s="7" t="str" cm="1">
        <f t="array" ref="I97">MSRPStatus(H97)</f>
        <v>Greater than or equal to 30k</v>
      </c>
    </row>
    <row r="98" spans="1:9" x14ac:dyDescent="0.2">
      <c r="A98" s="1" t="s">
        <v>155</v>
      </c>
      <c r="B98" s="1">
        <v>2018</v>
      </c>
      <c r="C98" s="1" t="s">
        <v>36</v>
      </c>
      <c r="D98" s="1" t="s">
        <v>37</v>
      </c>
      <c r="E98" s="1" t="s">
        <v>38</v>
      </c>
      <c r="F98" s="1" t="s">
        <v>19</v>
      </c>
      <c r="G98" s="4">
        <v>23654</v>
      </c>
      <c r="H98" s="4">
        <v>26019</v>
      </c>
      <c r="I98" s="7" t="str" cm="1">
        <f t="array" ref="I98">MSRPStatus(H98)</f>
        <v>Less than 30k</v>
      </c>
    </row>
    <row r="99" spans="1:9" x14ac:dyDescent="0.2">
      <c r="A99" s="1" t="s">
        <v>156</v>
      </c>
      <c r="B99" s="1">
        <v>2018</v>
      </c>
      <c r="C99" s="1" t="s">
        <v>21</v>
      </c>
      <c r="D99" s="1" t="s">
        <v>73</v>
      </c>
      <c r="E99" s="1" t="s">
        <v>3</v>
      </c>
      <c r="F99" s="1" t="s">
        <v>47</v>
      </c>
      <c r="G99" s="4">
        <v>11356</v>
      </c>
      <c r="H99" s="4">
        <v>12492</v>
      </c>
      <c r="I99" s="7" t="str" cm="1">
        <f t="array" ref="I99">MSRPStatus(H99)</f>
        <v>Less than 20k</v>
      </c>
    </row>
    <row r="100" spans="1:9" x14ac:dyDescent="0.2">
      <c r="A100" s="1" t="s">
        <v>157</v>
      </c>
      <c r="B100" s="1">
        <v>2018</v>
      </c>
      <c r="C100" s="1" t="s">
        <v>1</v>
      </c>
      <c r="D100" s="1" t="s">
        <v>65</v>
      </c>
      <c r="E100" s="1" t="s">
        <v>3</v>
      </c>
      <c r="F100" s="1" t="s">
        <v>32</v>
      </c>
      <c r="G100" s="4">
        <v>18382</v>
      </c>
      <c r="H100" s="4">
        <v>20220</v>
      </c>
      <c r="I100" s="7" t="str" cm="1">
        <f t="array" ref="I100">MSRPStatus(H100)</f>
        <v>Less than 30k</v>
      </c>
    </row>
    <row r="101" spans="1:9" x14ac:dyDescent="0.2">
      <c r="A101" s="1" t="s">
        <v>158</v>
      </c>
      <c r="B101" s="1">
        <v>2018</v>
      </c>
      <c r="C101" s="1" t="s">
        <v>14</v>
      </c>
      <c r="D101" s="1" t="s">
        <v>34</v>
      </c>
      <c r="E101" s="1" t="s">
        <v>3</v>
      </c>
      <c r="F101" s="1" t="s">
        <v>12</v>
      </c>
      <c r="G101" s="4">
        <v>21601</v>
      </c>
      <c r="H101" s="4">
        <v>23761</v>
      </c>
      <c r="I101" s="7" t="str" cm="1">
        <f t="array" ref="I101">MSRPStatus(H101)</f>
        <v>Less than 30k</v>
      </c>
    </row>
    <row r="102" spans="1:9" x14ac:dyDescent="0.2">
      <c r="A102" s="1" t="s">
        <v>159</v>
      </c>
      <c r="B102" s="1">
        <v>2018</v>
      </c>
      <c r="C102" s="1" t="s">
        <v>9</v>
      </c>
      <c r="D102" s="1" t="s">
        <v>69</v>
      </c>
      <c r="E102" s="1" t="s">
        <v>38</v>
      </c>
      <c r="F102" s="1" t="s">
        <v>32</v>
      </c>
      <c r="G102" s="4">
        <v>24099</v>
      </c>
      <c r="H102" s="4">
        <v>26509</v>
      </c>
      <c r="I102" s="7" t="str" cm="1">
        <f t="array" ref="I102">MSRPStatus(H102)</f>
        <v>Less than 30k</v>
      </c>
    </row>
    <row r="103" spans="1:9" x14ac:dyDescent="0.2">
      <c r="A103" s="1" t="s">
        <v>160</v>
      </c>
      <c r="B103" s="1">
        <v>2019</v>
      </c>
      <c r="C103" s="1" t="s">
        <v>21</v>
      </c>
      <c r="D103" s="1" t="s">
        <v>87</v>
      </c>
      <c r="E103" s="1" t="s">
        <v>3</v>
      </c>
      <c r="F103" s="1" t="s">
        <v>27</v>
      </c>
      <c r="G103" s="4">
        <v>13174</v>
      </c>
      <c r="H103" s="4">
        <v>15809</v>
      </c>
      <c r="I103" s="7" t="str" cm="1">
        <f t="array" ref="I103">MSRPStatus(H103)</f>
        <v>Less than 20k</v>
      </c>
    </row>
    <row r="104" spans="1:9" x14ac:dyDescent="0.2">
      <c r="A104" s="1" t="s">
        <v>161</v>
      </c>
      <c r="B104" s="1">
        <v>2018</v>
      </c>
      <c r="C104" s="1" t="s">
        <v>9</v>
      </c>
      <c r="D104" s="1" t="s">
        <v>75</v>
      </c>
      <c r="E104" s="1" t="s">
        <v>18</v>
      </c>
      <c r="F104" s="1" t="s">
        <v>32</v>
      </c>
      <c r="G104" s="4">
        <v>15273</v>
      </c>
      <c r="H104" s="4">
        <v>16800</v>
      </c>
      <c r="I104" s="7" t="str" cm="1">
        <f t="array" ref="I104">MSRPStatus(H104)</f>
        <v>Less than 20k</v>
      </c>
    </row>
    <row r="105" spans="1:9" x14ac:dyDescent="0.2">
      <c r="A105" s="1" t="s">
        <v>162</v>
      </c>
      <c r="B105" s="1">
        <v>2019</v>
      </c>
      <c r="C105" s="1" t="s">
        <v>36</v>
      </c>
      <c r="D105" s="1" t="s">
        <v>37</v>
      </c>
      <c r="E105" s="1" t="s">
        <v>38</v>
      </c>
      <c r="F105" s="1" t="s">
        <v>32</v>
      </c>
      <c r="G105" s="4">
        <v>25824</v>
      </c>
      <c r="H105" s="4">
        <v>30989</v>
      </c>
      <c r="I105" s="7" t="str" cm="1">
        <f t="array" ref="I105">MSRPStatus(H105)</f>
        <v>Greater than or equal to 30k</v>
      </c>
    </row>
    <row r="106" spans="1:9" x14ac:dyDescent="0.2">
      <c r="A106" s="1"/>
      <c r="B106" s="1"/>
      <c r="C106" s="1"/>
      <c r="D106" s="1"/>
      <c r="E106" s="1"/>
      <c r="F106" s="1"/>
      <c r="G106" s="4"/>
      <c r="H106" s="4"/>
    </row>
    <row r="107" spans="1:9" x14ac:dyDescent="0.2">
      <c r="A107" s="1"/>
      <c r="B107" s="1"/>
      <c r="C107" s="1"/>
      <c r="D107" s="1"/>
      <c r="E107" s="1"/>
      <c r="F107" s="1"/>
      <c r="G107" s="4"/>
      <c r="H10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6D5A-6119-5C48-B222-228BF20D5C56}">
  <sheetPr codeName="Sheet3"/>
  <dimension ref="A1:K11"/>
  <sheetViews>
    <sheetView tabSelected="1" zoomScale="130" zoomScaleNormal="130" workbookViewId="0">
      <selection activeCell="K5" sqref="K5"/>
    </sheetView>
  </sheetViews>
  <sheetFormatPr baseColWidth="10" defaultRowHeight="16" x14ac:dyDescent="0.2"/>
  <cols>
    <col min="1" max="1" width="18.5" bestFit="1" customWidth="1"/>
    <col min="2" max="2" width="4.83203125" bestFit="1" customWidth="1"/>
    <col min="3" max="3" width="5.6640625" bestFit="1" customWidth="1"/>
    <col min="4" max="4" width="6.1640625" bestFit="1" customWidth="1"/>
    <col min="5" max="5" width="12.83203125" bestFit="1" customWidth="1"/>
    <col min="6" max="6" width="5.6640625" bestFit="1" customWidth="1"/>
    <col min="7" max="7" width="12.33203125" style="5" bestFit="1" customWidth="1"/>
    <col min="8" max="8" width="7.33203125" style="5" bestFit="1" customWidth="1"/>
  </cols>
  <sheetData>
    <row r="1" spans="1:11" s="2" customFormat="1" x14ac:dyDescent="0.2">
      <c r="A1" s="2" t="s">
        <v>163</v>
      </c>
      <c r="B1" s="2" t="s">
        <v>164</v>
      </c>
      <c r="C1" s="2" t="s">
        <v>165</v>
      </c>
      <c r="D1" s="2" t="s">
        <v>166</v>
      </c>
      <c r="E1" s="2" t="s">
        <v>167</v>
      </c>
      <c r="F1" s="2" t="s">
        <v>168</v>
      </c>
      <c r="G1" s="3" t="s">
        <v>170</v>
      </c>
      <c r="H1" s="3" t="s">
        <v>169</v>
      </c>
    </row>
    <row r="2" spans="1:11" x14ac:dyDescent="0.2">
      <c r="A2" t="s">
        <v>172</v>
      </c>
      <c r="G2" s="5">
        <v>21789</v>
      </c>
    </row>
    <row r="3" spans="1:11" x14ac:dyDescent="0.2">
      <c r="A3" t="s">
        <v>173</v>
      </c>
      <c r="G3" s="5">
        <v>25452</v>
      </c>
    </row>
    <row r="4" spans="1:11" x14ac:dyDescent="0.2">
      <c r="A4" t="s">
        <v>174</v>
      </c>
      <c r="G4" s="5">
        <v>31960</v>
      </c>
      <c r="K4" t="s">
        <v>186</v>
      </c>
    </row>
    <row r="5" spans="1:11" x14ac:dyDescent="0.2">
      <c r="A5" t="s">
        <v>175</v>
      </c>
      <c r="G5" s="5">
        <v>17639</v>
      </c>
    </row>
    <row r="6" spans="1:11" x14ac:dyDescent="0.2">
      <c r="A6" t="s">
        <v>176</v>
      </c>
      <c r="G6" s="5">
        <v>28485</v>
      </c>
    </row>
    <row r="7" spans="1:11" x14ac:dyDescent="0.2">
      <c r="A7" t="s">
        <v>177</v>
      </c>
      <c r="G7" s="5">
        <v>10907</v>
      </c>
    </row>
    <row r="8" spans="1:11" x14ac:dyDescent="0.2">
      <c r="A8" t="s">
        <v>178</v>
      </c>
      <c r="G8" s="5">
        <v>32913</v>
      </c>
    </row>
    <row r="9" spans="1:11" x14ac:dyDescent="0.2">
      <c r="A9" t="s">
        <v>179</v>
      </c>
      <c r="G9" s="5">
        <v>20857</v>
      </c>
    </row>
    <row r="10" spans="1:11" x14ac:dyDescent="0.2">
      <c r="A10" t="s">
        <v>180</v>
      </c>
      <c r="G10" s="5">
        <v>15285</v>
      </c>
    </row>
    <row r="11" spans="1:11" x14ac:dyDescent="0.2">
      <c r="A11" t="s">
        <v>181</v>
      </c>
      <c r="G11" s="5">
        <v>29236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8975-698D-2A4D-9DCA-DCAFDD4E6711}">
  <sheetPr codeName="Sheet4"/>
  <dimension ref="A1:I3"/>
  <sheetViews>
    <sheetView zoomScale="130" zoomScaleNormal="130" workbookViewId="0">
      <selection activeCell="C9" sqref="C9"/>
    </sheetView>
  </sheetViews>
  <sheetFormatPr baseColWidth="10" defaultRowHeight="16" x14ac:dyDescent="0.2"/>
  <cols>
    <col min="1" max="1" width="18.1640625" bestFit="1" customWidth="1"/>
  </cols>
  <sheetData>
    <row r="1" spans="1:9" x14ac:dyDescent="0.2">
      <c r="A1" s="8" t="s">
        <v>163</v>
      </c>
      <c r="B1" s="8" t="s">
        <v>164</v>
      </c>
      <c r="C1" s="8" t="s">
        <v>165</v>
      </c>
      <c r="D1" s="8" t="s">
        <v>166</v>
      </c>
      <c r="E1" s="8" t="s">
        <v>168</v>
      </c>
      <c r="F1" s="8" t="s">
        <v>182</v>
      </c>
      <c r="G1" s="8" t="s">
        <v>167</v>
      </c>
    </row>
    <row r="2" spans="1:9" x14ac:dyDescent="0.2">
      <c r="A2" s="9" t="s">
        <v>183</v>
      </c>
      <c r="B2" s="9" t="s">
        <v>185</v>
      </c>
      <c r="C2" s="9">
        <v>4</v>
      </c>
      <c r="D2" s="9">
        <v>48</v>
      </c>
      <c r="E2" s="9">
        <v>2</v>
      </c>
      <c r="F2" s="9">
        <v>1</v>
      </c>
      <c r="G2" s="9">
        <v>1</v>
      </c>
    </row>
    <row r="3" spans="1:9" x14ac:dyDescent="0.2">
      <c r="I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vehiclesOriginal</vt:lpstr>
      <vt:lpstr>vehiclesCleanViaMacro</vt:lpstr>
      <vt:lpstr>newVehicles</vt:lpstr>
      <vt:lpstr>vin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Pedersen</dc:creator>
  <cp:lastModifiedBy>Ethan Pedersen</cp:lastModifiedBy>
  <dcterms:created xsi:type="dcterms:W3CDTF">2024-05-16T18:45:30Z</dcterms:created>
  <dcterms:modified xsi:type="dcterms:W3CDTF">2024-05-29T18:01:19Z</dcterms:modified>
</cp:coreProperties>
</file>